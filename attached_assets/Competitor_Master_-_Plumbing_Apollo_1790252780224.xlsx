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a\Downloads\"/>
    </mc:Choice>
  </mc:AlternateContent>
  <xr:revisionPtr revIDLastSave="0" documentId="13_ncr:1_{508594FA-829C-40B9-AEB1-59422A85F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CPVC PIPE" sheetId="2" r:id="rId1"/>
    <sheet name="CPVC FITTINGS" sheetId="3" r:id="rId2"/>
    <sheet name="UPVC PIPE" sheetId="4" r:id="rId3"/>
    <sheet name="UPVC FITTINGS" sheetId="5" r:id="rId4"/>
    <sheet name="AGRI PIPE" sheetId="6" r:id="rId5"/>
    <sheet name="AGRI FITTINGS" sheetId="7" r:id="rId6"/>
    <sheet name="AGRI SMART Fittings" sheetId="8" r:id="rId7"/>
    <sheet name="SWR PIPE" sheetId="9" r:id="rId8"/>
    <sheet name="SWR FITTINGS" sheetId="10" r:id="rId9"/>
    <sheet name="CASING PIPE" sheetId="11" r:id="rId10"/>
    <sheet name="UGD PIPE" sheetId="12" r:id="rId11"/>
    <sheet name="PPR PIPE" sheetId="13" r:id="rId12"/>
    <sheet name="PPR FITTING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2" l="1"/>
  <c r="D29" i="12"/>
  <c r="D28" i="12"/>
  <c r="D27" i="12"/>
  <c r="D24" i="12"/>
  <c r="D23" i="12"/>
  <c r="D22" i="12"/>
  <c r="D21" i="12"/>
  <c r="D20" i="12"/>
  <c r="D19" i="12"/>
  <c r="D16" i="12"/>
  <c r="D15" i="12"/>
  <c r="D14" i="12"/>
  <c r="D13" i="12"/>
  <c r="D10" i="12"/>
  <c r="D9" i="12"/>
  <c r="D8" i="12"/>
  <c r="D7" i="12"/>
  <c r="D6" i="12"/>
  <c r="D5" i="12"/>
  <c r="D24" i="11"/>
  <c r="D23" i="11"/>
  <c r="D22" i="11"/>
  <c r="D21" i="11"/>
  <c r="D20" i="11"/>
  <c r="D19" i="11"/>
  <c r="D18" i="11"/>
  <c r="D17" i="11"/>
  <c r="D16" i="11"/>
  <c r="D11" i="11"/>
  <c r="D10" i="11"/>
  <c r="D8" i="11"/>
  <c r="D7" i="11"/>
  <c r="D6" i="11"/>
  <c r="D5" i="11"/>
</calcChain>
</file>

<file path=xl/sharedStrings.xml><?xml version="1.0" encoding="utf-8"?>
<sst xmlns="http://schemas.openxmlformats.org/spreadsheetml/2006/main" count="3962" uniqueCount="2536">
  <si>
    <t>Prayag</t>
  </si>
  <si>
    <t>Apollo</t>
  </si>
  <si>
    <t>Size (in)</t>
  </si>
  <si>
    <t xml:space="preserve"> Size (in)</t>
  </si>
  <si>
    <t>Size (mm)</t>
  </si>
  <si>
    <t>ITEM CODE</t>
  </si>
  <si>
    <t>10th Aug, 2026</t>
  </si>
  <si>
    <t>Elbow 90⁰</t>
  </si>
  <si>
    <t>Pipe SCH 80 (3 MTR)</t>
  </si>
  <si>
    <t>Pipe SDR 11 (3 MTR)</t>
  </si>
  <si>
    <t>1⁄2</t>
  </si>
  <si>
    <t>C51</t>
  </si>
  <si>
    <t>PU-1</t>
  </si>
  <si>
    <t>APU001</t>
  </si>
  <si>
    <t>PS-1</t>
  </si>
  <si>
    <t>CMN02030V</t>
  </si>
  <si>
    <t>3⁄4</t>
  </si>
  <si>
    <t>C52</t>
  </si>
  <si>
    <t>PU-2</t>
  </si>
  <si>
    <t>APC001</t>
  </si>
  <si>
    <t>CMN02030W</t>
  </si>
  <si>
    <t>1</t>
  </si>
  <si>
    <t>C53</t>
  </si>
  <si>
    <t>Elbow 90⁰ (SCH-80)</t>
  </si>
  <si>
    <t>APU002</t>
  </si>
  <si>
    <t>PS-2</t>
  </si>
  <si>
    <t xml:space="preserve">CMN020301 </t>
  </si>
  <si>
    <t>1 1⁄4</t>
  </si>
  <si>
    <t>C54</t>
  </si>
  <si>
    <t>PU-3</t>
  </si>
  <si>
    <t>APC002</t>
  </si>
  <si>
    <t xml:space="preserve">CMN02031U </t>
  </si>
  <si>
    <t>APU003</t>
  </si>
  <si>
    <t>1 1⁄2</t>
  </si>
  <si>
    <t>C55</t>
  </si>
  <si>
    <t>PS-3</t>
  </si>
  <si>
    <t>CMN02031V</t>
  </si>
  <si>
    <t>PU-4</t>
  </si>
  <si>
    <t>2</t>
  </si>
  <si>
    <t>APC003</t>
  </si>
  <si>
    <t>C56</t>
  </si>
  <si>
    <t>APU004</t>
  </si>
  <si>
    <t xml:space="preserve">CMN020302 </t>
  </si>
  <si>
    <t>3⁄4 x 1⁄2</t>
  </si>
  <si>
    <t>20x15</t>
  </si>
  <si>
    <t>PS-4</t>
  </si>
  <si>
    <t>PU-5</t>
  </si>
  <si>
    <t>U50</t>
  </si>
  <si>
    <t>APU005</t>
  </si>
  <si>
    <t>APC004</t>
  </si>
  <si>
    <t>PU-6</t>
  </si>
  <si>
    <t>APU006</t>
  </si>
  <si>
    <t>PS-5</t>
  </si>
  <si>
    <t>APC005</t>
  </si>
  <si>
    <t>2 1⁄2</t>
  </si>
  <si>
    <t>PU-7</t>
  </si>
  <si>
    <t>APU007</t>
  </si>
  <si>
    <t>PS-6</t>
  </si>
  <si>
    <t>U51</t>
  </si>
  <si>
    <t>PU-8</t>
  </si>
  <si>
    <t>APC006</t>
  </si>
  <si>
    <t>APU008</t>
  </si>
  <si>
    <t>C57</t>
  </si>
  <si>
    <t>UM01010V</t>
  </si>
  <si>
    <t>PU-9</t>
  </si>
  <si>
    <t>CMN02032V</t>
  </si>
  <si>
    <t>APU009</t>
  </si>
  <si>
    <t>U52</t>
  </si>
  <si>
    <t>C58</t>
  </si>
  <si>
    <t>PU-10</t>
  </si>
  <si>
    <t>CMN020303</t>
  </si>
  <si>
    <t>UM01010W</t>
  </si>
  <si>
    <t>C59</t>
  </si>
  <si>
    <t>CMN020304</t>
  </si>
  <si>
    <t>U53</t>
  </si>
  <si>
    <t>PS-7</t>
  </si>
  <si>
    <t>UM010101</t>
  </si>
  <si>
    <t>APU010</t>
  </si>
  <si>
    <t>APC007</t>
  </si>
  <si>
    <t>Elbow 90⁰ (SCH-40)</t>
  </si>
  <si>
    <t>U54</t>
  </si>
  <si>
    <t>PS-8</t>
  </si>
  <si>
    <t>UM01011U</t>
  </si>
  <si>
    <t>C59N</t>
  </si>
  <si>
    <t>U55</t>
  </si>
  <si>
    <t>APC008</t>
  </si>
  <si>
    <t>Pipe SCH 80 (6 MTR)</t>
  </si>
  <si>
    <t>UM01011V</t>
  </si>
  <si>
    <t>PS-9</t>
  </si>
  <si>
    <t>APC009</t>
  </si>
  <si>
    <t>Reducer Elbow</t>
  </si>
  <si>
    <t>U56</t>
  </si>
  <si>
    <t>PS-10</t>
  </si>
  <si>
    <t>APC010</t>
  </si>
  <si>
    <t>PU-1S</t>
  </si>
  <si>
    <t>UM010102</t>
  </si>
  <si>
    <t>APU011</t>
  </si>
  <si>
    <t>C50</t>
  </si>
  <si>
    <t>Pipe SDR 11 (5 MTR)</t>
  </si>
  <si>
    <t>U57</t>
  </si>
  <si>
    <t>CMN02270W0V</t>
  </si>
  <si>
    <t>PU-2S</t>
  </si>
  <si>
    <t>1 x 3⁄4</t>
  </si>
  <si>
    <t>PS-1S</t>
  </si>
  <si>
    <t>25x20</t>
  </si>
  <si>
    <t>APU012</t>
  </si>
  <si>
    <t>APC011</t>
  </si>
  <si>
    <t>C532</t>
  </si>
  <si>
    <t xml:space="preserve"> CMN0227010W</t>
  </si>
  <si>
    <t>PS-2S</t>
  </si>
  <si>
    <t>U58</t>
  </si>
  <si>
    <t>PU-3S</t>
  </si>
  <si>
    <t>APC012</t>
  </si>
  <si>
    <t>APU013</t>
  </si>
  <si>
    <t>Elbow 45⁰</t>
  </si>
  <si>
    <t>PS-3S</t>
  </si>
  <si>
    <t>APC013</t>
  </si>
  <si>
    <t>C502</t>
  </si>
  <si>
    <t>PU-4S</t>
  </si>
  <si>
    <t>PS-4S</t>
  </si>
  <si>
    <t>APC014</t>
  </si>
  <si>
    <t xml:space="preserve"> CMN02280W</t>
  </si>
  <si>
    <t>APU014</t>
  </si>
  <si>
    <t>PS-5S</t>
  </si>
  <si>
    <t>C503</t>
  </si>
  <si>
    <t>APC015</t>
  </si>
  <si>
    <t>PU-5S</t>
  </si>
  <si>
    <t xml:space="preserve">CMN022801 </t>
  </si>
  <si>
    <t>APU015</t>
  </si>
  <si>
    <t>PS-6S</t>
  </si>
  <si>
    <t>C504</t>
  </si>
  <si>
    <t>U59</t>
  </si>
  <si>
    <t>APC016</t>
  </si>
  <si>
    <t>CMN02281U</t>
  </si>
  <si>
    <t>PU-6S</t>
  </si>
  <si>
    <t>C505</t>
  </si>
  <si>
    <t>APU016</t>
  </si>
  <si>
    <t>Pipe SCH 80 (5 MTR)</t>
  </si>
  <si>
    <t>PU-7S</t>
  </si>
  <si>
    <t>PS-7S</t>
  </si>
  <si>
    <t>APU017</t>
  </si>
  <si>
    <t>APC017</t>
  </si>
  <si>
    <t>PS-8S</t>
  </si>
  <si>
    <t>APC018</t>
  </si>
  <si>
    <t>PU-8S</t>
  </si>
  <si>
    <t>CMN02281V</t>
  </si>
  <si>
    <t>APU018</t>
  </si>
  <si>
    <t>PS-9S</t>
  </si>
  <si>
    <t>C506</t>
  </si>
  <si>
    <t>APC019</t>
  </si>
  <si>
    <t xml:space="preserve">CMN022802 </t>
  </si>
  <si>
    <t>PS-10S</t>
  </si>
  <si>
    <t>PU-9S</t>
  </si>
  <si>
    <t>APC020</t>
  </si>
  <si>
    <t>U59N</t>
  </si>
  <si>
    <t>APU019</t>
  </si>
  <si>
    <t>Tee</t>
  </si>
  <si>
    <t>Pipe SDR 13.5 (3 MTR)</t>
  </si>
  <si>
    <t>PU-10S</t>
  </si>
  <si>
    <t>C61</t>
  </si>
  <si>
    <t>APU020</t>
  </si>
  <si>
    <t>PS-11</t>
  </si>
  <si>
    <t>CMN02040V</t>
  </si>
  <si>
    <t>APC021</t>
  </si>
  <si>
    <t>C62</t>
  </si>
  <si>
    <t>PS-12</t>
  </si>
  <si>
    <t>Reducer Elbow 90⁰ (SCH-80)</t>
  </si>
  <si>
    <t>APC022</t>
  </si>
  <si>
    <t>CMN02040W</t>
  </si>
  <si>
    <t>PS-13</t>
  </si>
  <si>
    <t>Pipe SCH 40 (3 MTR)</t>
  </si>
  <si>
    <t>APC023</t>
  </si>
  <si>
    <t>1 x 1⁄2</t>
  </si>
  <si>
    <t>C63</t>
  </si>
  <si>
    <t>25x15</t>
  </si>
  <si>
    <t>U531</t>
  </si>
  <si>
    <t>CMN020401</t>
  </si>
  <si>
    <t>PS-14</t>
  </si>
  <si>
    <t>APC024</t>
  </si>
  <si>
    <t>UM0110010V</t>
  </si>
  <si>
    <t>C64</t>
  </si>
  <si>
    <t>PU-11</t>
  </si>
  <si>
    <t>PS-15</t>
  </si>
  <si>
    <t>U532</t>
  </si>
  <si>
    <t>APC025</t>
  </si>
  <si>
    <t>CMN02041U</t>
  </si>
  <si>
    <t>PS-16</t>
  </si>
  <si>
    <t>C65</t>
  </si>
  <si>
    <t>UM0110010W</t>
  </si>
  <si>
    <t>APU021</t>
  </si>
  <si>
    <t>APC026</t>
  </si>
  <si>
    <t>CMN02041V</t>
  </si>
  <si>
    <t>1 1⁄4 x 1⁄2</t>
  </si>
  <si>
    <t>32x15</t>
  </si>
  <si>
    <t>U533</t>
  </si>
  <si>
    <t>PU-12</t>
  </si>
  <si>
    <t>C66</t>
  </si>
  <si>
    <t>CMN020402</t>
  </si>
  <si>
    <t>APU022</t>
  </si>
  <si>
    <t>PS-17</t>
  </si>
  <si>
    <t>1 1⁄4 x 3⁄4</t>
  </si>
  <si>
    <t>32x20</t>
  </si>
  <si>
    <t>U534</t>
  </si>
  <si>
    <t>PU-13</t>
  </si>
  <si>
    <t>Tee (SCH-80)</t>
  </si>
  <si>
    <t>APC027</t>
  </si>
  <si>
    <t>APU023</t>
  </si>
  <si>
    <t>PS-18</t>
  </si>
  <si>
    <t>C67</t>
  </si>
  <si>
    <t>APC028</t>
  </si>
  <si>
    <t>1 1⁄4 x 1</t>
  </si>
  <si>
    <t>32x25</t>
  </si>
  <si>
    <t>U535</t>
  </si>
  <si>
    <t>CMN02042V</t>
  </si>
  <si>
    <t>PU-14</t>
  </si>
  <si>
    <t>PS-19</t>
  </si>
  <si>
    <t>APC029</t>
  </si>
  <si>
    <t>APU024</t>
  </si>
  <si>
    <t>PS-20</t>
  </si>
  <si>
    <t>APC030</t>
  </si>
  <si>
    <t>1 1⁄2 x 1⁄2</t>
  </si>
  <si>
    <t>40x15</t>
  </si>
  <si>
    <t>U536</t>
  </si>
  <si>
    <t>PU-15</t>
  </si>
  <si>
    <t>C68</t>
  </si>
  <si>
    <t>APU025</t>
  </si>
  <si>
    <t>1 1⁄2 x 3⁄4</t>
  </si>
  <si>
    <t>40x20</t>
  </si>
  <si>
    <t>U537</t>
  </si>
  <si>
    <t>Pipe SDR 13.5 (5 MTR)</t>
  </si>
  <si>
    <t>CMN020403</t>
  </si>
  <si>
    <t>PU-16</t>
  </si>
  <si>
    <t>PS-11S</t>
  </si>
  <si>
    <t>1 1⁄2 x 1</t>
  </si>
  <si>
    <t>40x25</t>
  </si>
  <si>
    <t>APU026</t>
  </si>
  <si>
    <t>U538</t>
  </si>
  <si>
    <t>C69</t>
  </si>
  <si>
    <t>CMN020404</t>
  </si>
  <si>
    <t>PU-17</t>
  </si>
  <si>
    <t>1 1⁄2 x 1 1⁄4</t>
  </si>
  <si>
    <t>40x32</t>
  </si>
  <si>
    <t>APU027</t>
  </si>
  <si>
    <t>Tee (SCH-40)</t>
  </si>
  <si>
    <t>APC031</t>
  </si>
  <si>
    <t>PU-18</t>
  </si>
  <si>
    <t>PS-12S</t>
  </si>
  <si>
    <t>APU028</t>
  </si>
  <si>
    <t>C69N</t>
  </si>
  <si>
    <t>PU-19</t>
  </si>
  <si>
    <t>U539</t>
  </si>
  <si>
    <t>APC032</t>
  </si>
  <si>
    <t>APU029</t>
  </si>
  <si>
    <t>PS-13S</t>
  </si>
  <si>
    <t>PU-20</t>
  </si>
  <si>
    <t>APU030</t>
  </si>
  <si>
    <t>Reducer Tee</t>
  </si>
  <si>
    <t>APC033</t>
  </si>
  <si>
    <t>PS-14S</t>
  </si>
  <si>
    <t>APC034</t>
  </si>
  <si>
    <t>3⁄4 x 3⁄4 x 1⁄2</t>
  </si>
  <si>
    <t>Pipe SCH 40 (6 MTR)</t>
  </si>
  <si>
    <t>PS-15S</t>
  </si>
  <si>
    <t>20x20x15</t>
  </si>
  <si>
    <t>PU-11S</t>
  </si>
  <si>
    <t>Reducer Brass Elbow (SCH-80)</t>
  </si>
  <si>
    <t>APC035</t>
  </si>
  <si>
    <t>C221</t>
  </si>
  <si>
    <t>APU031</t>
  </si>
  <si>
    <t>PS-16S</t>
  </si>
  <si>
    <t xml:space="preserve"> CMN02070W0V</t>
  </si>
  <si>
    <t>PU-12S</t>
  </si>
  <si>
    <t>APC036</t>
  </si>
  <si>
    <t>APU032</t>
  </si>
  <si>
    <t>1 x 1 x 3⁄4</t>
  </si>
  <si>
    <t>U521</t>
  </si>
  <si>
    <t>25x25x20</t>
  </si>
  <si>
    <t>PU-13S</t>
  </si>
  <si>
    <t>C232</t>
  </si>
  <si>
    <t>APU033</t>
  </si>
  <si>
    <t>Pipe SCH 40 (5 MTR)</t>
  </si>
  <si>
    <t>CMN0207010W</t>
  </si>
  <si>
    <t>PU-14S</t>
  </si>
  <si>
    <t>APU034</t>
  </si>
  <si>
    <t>1 1⁄4 x 1 1⁄4 x 3⁄4</t>
  </si>
  <si>
    <t>PS-17S</t>
  </si>
  <si>
    <t>32x32x20</t>
  </si>
  <si>
    <t>C242</t>
  </si>
  <si>
    <t>PU-15S</t>
  </si>
  <si>
    <t>U523</t>
  </si>
  <si>
    <t>APC037</t>
  </si>
  <si>
    <t>CMN02071U0W</t>
  </si>
  <si>
    <t>APU035</t>
  </si>
  <si>
    <t>1 1⁄4 x 1 1⁄4 x 1</t>
  </si>
  <si>
    <t>PS-18S</t>
  </si>
  <si>
    <t>PU-16S</t>
  </si>
  <si>
    <t>32x32x25</t>
  </si>
  <si>
    <t>C243</t>
  </si>
  <si>
    <t>APU036</t>
  </si>
  <si>
    <t>APC038</t>
  </si>
  <si>
    <t>CMN02071U01</t>
  </si>
  <si>
    <t>PU-17S</t>
  </si>
  <si>
    <t>PS-19S</t>
  </si>
  <si>
    <t>U524</t>
  </si>
  <si>
    <t>1 1⁄2 x 1 1⁄2 x 3⁄4</t>
  </si>
  <si>
    <t>APU037</t>
  </si>
  <si>
    <t>40x40x20</t>
  </si>
  <si>
    <t>APC039</t>
  </si>
  <si>
    <t>C252</t>
  </si>
  <si>
    <t>PU-18S</t>
  </si>
  <si>
    <t>PS-20S</t>
  </si>
  <si>
    <t>CCMN02071V0W</t>
  </si>
  <si>
    <t>APU038</t>
  </si>
  <si>
    <t>APC040</t>
  </si>
  <si>
    <t>1 1⁄2 x 1 1⁄2 x 1</t>
  </si>
  <si>
    <t>40x40x25</t>
  </si>
  <si>
    <t>PU-19S</t>
  </si>
  <si>
    <t>C253</t>
  </si>
  <si>
    <t>1⁄2 x 1⁄2</t>
  </si>
  <si>
    <t>15x15</t>
  </si>
  <si>
    <t>APU039</t>
  </si>
  <si>
    <t>U526</t>
  </si>
  <si>
    <t>CMN02071V01</t>
  </si>
  <si>
    <t>PU-20S</t>
  </si>
  <si>
    <t>APU040</t>
  </si>
  <si>
    <t>1 1⁄2 x 1 1⁄2 x 1 1⁄4</t>
  </si>
  <si>
    <t>40x40x32</t>
  </si>
  <si>
    <t>C254</t>
  </si>
  <si>
    <t>3⁄4 x 3⁄4</t>
  </si>
  <si>
    <t>20x20</t>
  </si>
  <si>
    <t>2 x 2 x 3⁄4</t>
  </si>
  <si>
    <t>U527</t>
  </si>
  <si>
    <t>50x50x20</t>
  </si>
  <si>
    <t>C262</t>
  </si>
  <si>
    <t>2 x 2 x 1</t>
  </si>
  <si>
    <t>50x50x25</t>
  </si>
  <si>
    <t>C263</t>
  </si>
  <si>
    <t>Pipe SCH 80 (Threaded End) (3 MTR)</t>
  </si>
  <si>
    <t>CMN02070201</t>
  </si>
  <si>
    <t>2 x 2 x 1 1⁄4</t>
  </si>
  <si>
    <t>50x50x32</t>
  </si>
  <si>
    <t>C264</t>
  </si>
  <si>
    <t>CMN0207021U</t>
  </si>
  <si>
    <t>Elbow 45⁰ (SCH-80)</t>
  </si>
  <si>
    <t>2 x 2 x 1 1⁄2</t>
  </si>
  <si>
    <t>50x50x40</t>
  </si>
  <si>
    <t>PU-1 T</t>
  </si>
  <si>
    <t>C265</t>
  </si>
  <si>
    <t>APU041</t>
  </si>
  <si>
    <t xml:space="preserve"> CMN0207021V</t>
  </si>
  <si>
    <t>U502</t>
  </si>
  <si>
    <t>PU-2 T</t>
  </si>
  <si>
    <t>Union</t>
  </si>
  <si>
    <t>UM01190W</t>
  </si>
  <si>
    <t>APU042</t>
  </si>
  <si>
    <t>C32</t>
  </si>
  <si>
    <t>PU-3 T</t>
  </si>
  <si>
    <t>U503</t>
  </si>
  <si>
    <t>CMN02110W</t>
  </si>
  <si>
    <t>APU043</t>
  </si>
  <si>
    <t>C33</t>
  </si>
  <si>
    <t>UM011901</t>
  </si>
  <si>
    <t>PU-4 T</t>
  </si>
  <si>
    <t>CMN021101</t>
  </si>
  <si>
    <t>C34</t>
  </si>
  <si>
    <t>APU044</t>
  </si>
  <si>
    <t>U504</t>
  </si>
  <si>
    <t xml:space="preserve">CMN02111U </t>
  </si>
  <si>
    <t>UM01191U</t>
  </si>
  <si>
    <t>PU-5 T</t>
  </si>
  <si>
    <t>C35</t>
  </si>
  <si>
    <t>APU045</t>
  </si>
  <si>
    <t>CMN02111V</t>
  </si>
  <si>
    <t>U505</t>
  </si>
  <si>
    <t>C36</t>
  </si>
  <si>
    <t>CMN021102</t>
  </si>
  <si>
    <t>UM01191V</t>
  </si>
  <si>
    <t>PU-6 T</t>
  </si>
  <si>
    <t>C37</t>
  </si>
  <si>
    <t>APU046</t>
  </si>
  <si>
    <t>U506</t>
  </si>
  <si>
    <t>UM011902</t>
  </si>
  <si>
    <t>C38</t>
  </si>
  <si>
    <t>Pipe SCH 80 (Threaded End) (6 MTR)</t>
  </si>
  <si>
    <t>C39</t>
  </si>
  <si>
    <t>PU-1 TS</t>
  </si>
  <si>
    <t>APU047</t>
  </si>
  <si>
    <t>Coupling</t>
  </si>
  <si>
    <t>U61</t>
  </si>
  <si>
    <t>C41</t>
  </si>
  <si>
    <t>CMN02010V</t>
  </si>
  <si>
    <t>UM01030V</t>
  </si>
  <si>
    <t>C42</t>
  </si>
  <si>
    <t>CMN02010W</t>
  </si>
  <si>
    <t>U62</t>
  </si>
  <si>
    <t>C43</t>
  </si>
  <si>
    <t>UM01030W</t>
  </si>
  <si>
    <t>CMN020101</t>
  </si>
  <si>
    <t>C44</t>
  </si>
  <si>
    <t>U63</t>
  </si>
  <si>
    <t>CMN02011U</t>
  </si>
  <si>
    <t>UM010301</t>
  </si>
  <si>
    <t>C45</t>
  </si>
  <si>
    <t>CMN02011V</t>
  </si>
  <si>
    <t>U64</t>
  </si>
  <si>
    <t>C46</t>
  </si>
  <si>
    <t>CMN020102</t>
  </si>
  <si>
    <t>UM01031U</t>
  </si>
  <si>
    <t>U65</t>
  </si>
  <si>
    <t>Coupling (Sch-80)</t>
  </si>
  <si>
    <t>UM01031V</t>
  </si>
  <si>
    <t>C47</t>
  </si>
  <si>
    <t>CMN02012V</t>
  </si>
  <si>
    <t>U66</t>
  </si>
  <si>
    <t>C48</t>
  </si>
  <si>
    <t>UM010302</t>
  </si>
  <si>
    <t>CMN020103</t>
  </si>
  <si>
    <t>C49</t>
  </si>
  <si>
    <t>CMN020104</t>
  </si>
  <si>
    <t>Coupling (Sch-40)</t>
  </si>
  <si>
    <t>C49N</t>
  </si>
  <si>
    <t>U67</t>
  </si>
  <si>
    <t>Reducer Coupling</t>
  </si>
  <si>
    <t>U68</t>
  </si>
  <si>
    <t>C921</t>
  </si>
  <si>
    <t>CMN02050W0V</t>
  </si>
  <si>
    <t>C932</t>
  </si>
  <si>
    <t>PU-2 TS</t>
  </si>
  <si>
    <t>CMN0205010W</t>
  </si>
  <si>
    <t>U69</t>
  </si>
  <si>
    <t>APU048</t>
  </si>
  <si>
    <t>PU-3 TS</t>
  </si>
  <si>
    <t>C942</t>
  </si>
  <si>
    <t>APU049</t>
  </si>
  <si>
    <t>CMN02051U0W</t>
  </si>
  <si>
    <t>PU-4 TS</t>
  </si>
  <si>
    <t>APU050</t>
  </si>
  <si>
    <t>C943</t>
  </si>
  <si>
    <t>PU-5 TS</t>
  </si>
  <si>
    <t>CMN02051U01</t>
  </si>
  <si>
    <t>APU051</t>
  </si>
  <si>
    <t>PU-6 TS</t>
  </si>
  <si>
    <t>C952</t>
  </si>
  <si>
    <t>APU052</t>
  </si>
  <si>
    <t>CMN02051V0W</t>
  </si>
  <si>
    <t>U69N</t>
  </si>
  <si>
    <t>C953</t>
  </si>
  <si>
    <t>CMN02051V01</t>
  </si>
  <si>
    <t>C954</t>
  </si>
  <si>
    <t>2 x 3⁄4</t>
  </si>
  <si>
    <t>50x20</t>
  </si>
  <si>
    <t>C962</t>
  </si>
  <si>
    <t>Reducer Tee (SCH-80)</t>
  </si>
  <si>
    <t>2 x 1</t>
  </si>
  <si>
    <t>50x25</t>
  </si>
  <si>
    <t>C963</t>
  </si>
  <si>
    <t>CMN02050201</t>
  </si>
  <si>
    <t>U221</t>
  </si>
  <si>
    <t>2 x 1 1⁄4</t>
  </si>
  <si>
    <t>50x32</t>
  </si>
  <si>
    <t>C964</t>
  </si>
  <si>
    <t>UM01120W0V</t>
  </si>
  <si>
    <t>CMN0205021U</t>
  </si>
  <si>
    <t>2 x 1 1⁄2</t>
  </si>
  <si>
    <t>50x40</t>
  </si>
  <si>
    <t>C965</t>
  </si>
  <si>
    <t>1 x 1 x 1⁄2</t>
  </si>
  <si>
    <t>25x25x15</t>
  </si>
  <si>
    <t>U231</t>
  </si>
  <si>
    <t>UM0112010V</t>
  </si>
  <si>
    <t>Transition Bushing</t>
  </si>
  <si>
    <t>1 1⁄4 x 1 1⁄4 x 1⁄2</t>
  </si>
  <si>
    <t>32x32x15</t>
  </si>
  <si>
    <t>U241</t>
  </si>
  <si>
    <t>20</t>
  </si>
  <si>
    <t>C702</t>
  </si>
  <si>
    <t>CMN0246010W</t>
  </si>
  <si>
    <t>U242</t>
  </si>
  <si>
    <t>25</t>
  </si>
  <si>
    <t>C703</t>
  </si>
  <si>
    <t>CMN02460101</t>
  </si>
  <si>
    <t>C703N</t>
  </si>
  <si>
    <t>U243</t>
  </si>
  <si>
    <t>32</t>
  </si>
  <si>
    <t>C704</t>
  </si>
  <si>
    <t>U232</t>
  </si>
  <si>
    <t>CM0246011U</t>
  </si>
  <si>
    <t>UM0112010W</t>
  </si>
  <si>
    <t>End Cap</t>
  </si>
  <si>
    <t>1 1⁄2 x 1 1⁄2 x 1⁄2</t>
  </si>
  <si>
    <t>40x40x15</t>
  </si>
  <si>
    <t>U251</t>
  </si>
  <si>
    <t>C601</t>
  </si>
  <si>
    <t>CMN02020V</t>
  </si>
  <si>
    <t>C602</t>
  </si>
  <si>
    <t>U252</t>
  </si>
  <si>
    <t>CMN02020W</t>
  </si>
  <si>
    <t>UM01121V0W</t>
  </si>
  <si>
    <t>C603</t>
  </si>
  <si>
    <t>CMN020201</t>
  </si>
  <si>
    <t>C604</t>
  </si>
  <si>
    <t>CMN02021U</t>
  </si>
  <si>
    <t>U253</t>
  </si>
  <si>
    <t>C605</t>
  </si>
  <si>
    <t>UM01121V01</t>
  </si>
  <si>
    <t>CMN02021V</t>
  </si>
  <si>
    <t>C606</t>
  </si>
  <si>
    <t>U254</t>
  </si>
  <si>
    <t>CMN020202</t>
  </si>
  <si>
    <t>End Cap (Sch-80)</t>
  </si>
  <si>
    <t>2 x 2 x 1⁄2</t>
  </si>
  <si>
    <t>50x50x15</t>
  </si>
  <si>
    <t>U261</t>
  </si>
  <si>
    <t>C607</t>
  </si>
  <si>
    <t>CMN02022V</t>
  </si>
  <si>
    <t>C608</t>
  </si>
  <si>
    <t>U262</t>
  </si>
  <si>
    <t>CMN020203</t>
  </si>
  <si>
    <t>C609</t>
  </si>
  <si>
    <t>CMN020204</t>
  </si>
  <si>
    <t>U263</t>
  </si>
  <si>
    <t>UM01120201</t>
  </si>
  <si>
    <t>Reducer Bushing</t>
  </si>
  <si>
    <t>C832</t>
  </si>
  <si>
    <t>U264</t>
  </si>
  <si>
    <t>CMN0206010W</t>
  </si>
  <si>
    <t>C841</t>
  </si>
  <si>
    <t>2 x 1 1⁄2 x 2</t>
  </si>
  <si>
    <t>U265</t>
  </si>
  <si>
    <t>C842</t>
  </si>
  <si>
    <t>CMN02061U0W</t>
  </si>
  <si>
    <t>UM0112021V</t>
  </si>
  <si>
    <t>C843</t>
  </si>
  <si>
    <t>CMN02061U01</t>
  </si>
  <si>
    <t>C851</t>
  </si>
  <si>
    <t>Union (SCH-80)</t>
  </si>
  <si>
    <t>C852</t>
  </si>
  <si>
    <t>CMN02061V0W</t>
  </si>
  <si>
    <t>U31</t>
  </si>
  <si>
    <t>C853</t>
  </si>
  <si>
    <t>CMN02061V01</t>
  </si>
  <si>
    <t>UM01080V</t>
  </si>
  <si>
    <t>C854</t>
  </si>
  <si>
    <t>CMN02061V1U</t>
  </si>
  <si>
    <t>U32</t>
  </si>
  <si>
    <t>C862</t>
  </si>
  <si>
    <t>UM01080W</t>
  </si>
  <si>
    <t>C863</t>
  </si>
  <si>
    <t>U33</t>
  </si>
  <si>
    <t>CMN02060201</t>
  </si>
  <si>
    <t>UM010801</t>
  </si>
  <si>
    <t>C864</t>
  </si>
  <si>
    <t>CMN0206021U</t>
  </si>
  <si>
    <t>U34</t>
  </si>
  <si>
    <t>C865</t>
  </si>
  <si>
    <t>UM01081U</t>
  </si>
  <si>
    <t>CMN0206021V</t>
  </si>
  <si>
    <t>U35</t>
  </si>
  <si>
    <t>Reducer Bushing (SCH-80)</t>
  </si>
  <si>
    <t>UM01081V</t>
  </si>
  <si>
    <t>2 1⁄2 x 1 1⁄2</t>
  </si>
  <si>
    <t>65x40</t>
  </si>
  <si>
    <t>C875</t>
  </si>
  <si>
    <t>U36</t>
  </si>
  <si>
    <t>2 1⁄2 x 2</t>
  </si>
  <si>
    <t>65x50</t>
  </si>
  <si>
    <t>C876</t>
  </si>
  <si>
    <t>UM010802</t>
  </si>
  <si>
    <t>CMN02062V02</t>
  </si>
  <si>
    <t>3 x 2</t>
  </si>
  <si>
    <t>80x50</t>
  </si>
  <si>
    <t>U37</t>
  </si>
  <si>
    <t>C886</t>
  </si>
  <si>
    <t>CMN02060302</t>
  </si>
  <si>
    <t>3 x 2 1⁄2</t>
  </si>
  <si>
    <t>80x65</t>
  </si>
  <si>
    <t>C887</t>
  </si>
  <si>
    <t>CMN0206032V</t>
  </si>
  <si>
    <t>U38</t>
  </si>
  <si>
    <t>4 x 2</t>
  </si>
  <si>
    <t>100x50</t>
  </si>
  <si>
    <t>C896</t>
  </si>
  <si>
    <t>U39</t>
  </si>
  <si>
    <t>CMN02060402</t>
  </si>
  <si>
    <t>4 x 3</t>
  </si>
  <si>
    <t>100x80</t>
  </si>
  <si>
    <t>C897</t>
  </si>
  <si>
    <t>CMN02060403</t>
  </si>
  <si>
    <t>4 x 2 1⁄2</t>
  </si>
  <si>
    <t>100x65</t>
  </si>
  <si>
    <t>C898</t>
  </si>
  <si>
    <t>CMN0206042V</t>
  </si>
  <si>
    <t>Male Adapter Plastic Threads</t>
  </si>
  <si>
    <t>U821</t>
  </si>
  <si>
    <t>C101</t>
  </si>
  <si>
    <t>C102</t>
  </si>
  <si>
    <t>CMN02080W</t>
  </si>
  <si>
    <t>UM01110W0V</t>
  </si>
  <si>
    <t>C103</t>
  </si>
  <si>
    <t>CMN020801</t>
  </si>
  <si>
    <t>U831</t>
  </si>
  <si>
    <t>C104</t>
  </si>
  <si>
    <t>CMN02081U</t>
  </si>
  <si>
    <t>UM0111010V</t>
  </si>
  <si>
    <t>C105</t>
  </si>
  <si>
    <t>CMN02081V</t>
  </si>
  <si>
    <t>U832</t>
  </si>
  <si>
    <t>C106</t>
  </si>
  <si>
    <t>CMN020802</t>
  </si>
  <si>
    <t>C131</t>
  </si>
  <si>
    <t>U841</t>
  </si>
  <si>
    <t>C132</t>
  </si>
  <si>
    <t>U842</t>
  </si>
  <si>
    <t>UM01111U01</t>
  </si>
  <si>
    <t>Male Adapter Plastic Threads (SCH-80)</t>
  </si>
  <si>
    <t>1 x 3⁄4 x 1</t>
  </si>
  <si>
    <t>U843</t>
  </si>
  <si>
    <t>C107</t>
  </si>
  <si>
    <t>UM0111010W</t>
  </si>
  <si>
    <t>CM02082V</t>
  </si>
  <si>
    <t>C108</t>
  </si>
  <si>
    <t>U851</t>
  </si>
  <si>
    <t>CMN020803</t>
  </si>
  <si>
    <t>C109</t>
  </si>
  <si>
    <t>CM020804</t>
  </si>
  <si>
    <t>U852</t>
  </si>
  <si>
    <t>Female Adapter Plastic Threads</t>
  </si>
  <si>
    <t>C90</t>
  </si>
  <si>
    <t>U853</t>
  </si>
  <si>
    <t>UM01111V01</t>
  </si>
  <si>
    <t>C91</t>
  </si>
  <si>
    <t>C92</t>
  </si>
  <si>
    <t>U854</t>
  </si>
  <si>
    <t>CMN02100W</t>
  </si>
  <si>
    <t>C93</t>
  </si>
  <si>
    <t>CMN021001</t>
  </si>
  <si>
    <t>C94</t>
  </si>
  <si>
    <t>U861</t>
  </si>
  <si>
    <t>CMN02101U</t>
  </si>
  <si>
    <t>C95</t>
  </si>
  <si>
    <t>CMN02101V</t>
  </si>
  <si>
    <t>U862</t>
  </si>
  <si>
    <t>C96</t>
  </si>
  <si>
    <t>CMN021002</t>
  </si>
  <si>
    <t>Female Adapter Plastic Threads (SCH-80)</t>
  </si>
  <si>
    <t>U863</t>
  </si>
  <si>
    <t>UM01110201</t>
  </si>
  <si>
    <t>C97</t>
  </si>
  <si>
    <t>CMN02102V</t>
  </si>
  <si>
    <t>C98</t>
  </si>
  <si>
    <t>U864</t>
  </si>
  <si>
    <t>CMN021003</t>
  </si>
  <si>
    <t>C99</t>
  </si>
  <si>
    <t>CMN021004</t>
  </si>
  <si>
    <t>U865</t>
  </si>
  <si>
    <t>UM0111021V</t>
  </si>
  <si>
    <t>Cross Tee</t>
  </si>
  <si>
    <t>C320</t>
  </si>
  <si>
    <t>CMN02140W</t>
  </si>
  <si>
    <t>C330</t>
  </si>
  <si>
    <t>CMN021401</t>
  </si>
  <si>
    <t>U875</t>
  </si>
  <si>
    <t>NON RETURN VALVE</t>
  </si>
  <si>
    <t>U876</t>
  </si>
  <si>
    <t>U886</t>
  </si>
  <si>
    <t>50X65</t>
  </si>
  <si>
    <t>U887</t>
  </si>
  <si>
    <t>U896</t>
  </si>
  <si>
    <t>U897</t>
  </si>
  <si>
    <t>C133</t>
  </si>
  <si>
    <t>CTNR023001</t>
  </si>
  <si>
    <t>U898</t>
  </si>
  <si>
    <t>C134</t>
  </si>
  <si>
    <t>CTNR02301U</t>
  </si>
  <si>
    <t>C135</t>
  </si>
  <si>
    <t>CTNR02301V</t>
  </si>
  <si>
    <t>Ball Valve Butterfly Handle</t>
  </si>
  <si>
    <t>Reducer Coupling (SCH-80)</t>
  </si>
  <si>
    <t>C22</t>
  </si>
  <si>
    <t>C23</t>
  </si>
  <si>
    <t>U921</t>
  </si>
  <si>
    <t>C24</t>
  </si>
  <si>
    <t>C25</t>
  </si>
  <si>
    <t>UM01090W0V</t>
  </si>
  <si>
    <t>C26</t>
  </si>
  <si>
    <t>Male Adapter Brass Threads</t>
  </si>
  <si>
    <t>U931</t>
  </si>
  <si>
    <t>C71</t>
  </si>
  <si>
    <t>UM0109010V</t>
  </si>
  <si>
    <t>C72</t>
  </si>
  <si>
    <t>CMN02160W</t>
  </si>
  <si>
    <t>C73</t>
  </si>
  <si>
    <t>U932</t>
  </si>
  <si>
    <t>CMN021601</t>
  </si>
  <si>
    <t>C74</t>
  </si>
  <si>
    <t>UM0109010W</t>
  </si>
  <si>
    <t>CMN02161U</t>
  </si>
  <si>
    <t>C75</t>
  </si>
  <si>
    <t>CMN02161V</t>
  </si>
  <si>
    <t>C76</t>
  </si>
  <si>
    <t>CMN021602</t>
  </si>
  <si>
    <t>U941</t>
  </si>
  <si>
    <t>C731</t>
  </si>
  <si>
    <t>C732</t>
  </si>
  <si>
    <t>Female Adapter Brass Threads</t>
  </si>
  <si>
    <t>U942</t>
  </si>
  <si>
    <t>C82</t>
  </si>
  <si>
    <t>CMN02180W</t>
  </si>
  <si>
    <t>C83</t>
  </si>
  <si>
    <t>CMN02181U</t>
  </si>
  <si>
    <t>C84</t>
  </si>
  <si>
    <t>U943</t>
  </si>
  <si>
    <t>CMN021801</t>
  </si>
  <si>
    <t>C85</t>
  </si>
  <si>
    <t>CMN02181V</t>
  </si>
  <si>
    <t>UM01091U01</t>
  </si>
  <si>
    <t>C86</t>
  </si>
  <si>
    <t>CMN021802</t>
  </si>
  <si>
    <t>Ball Valve Long Lever Handle</t>
  </si>
  <si>
    <t>U951</t>
  </si>
  <si>
    <t>C22L</t>
  </si>
  <si>
    <t>C23L</t>
  </si>
  <si>
    <t>C24L</t>
  </si>
  <si>
    <t>U952</t>
  </si>
  <si>
    <t>C25L</t>
  </si>
  <si>
    <t>C26L</t>
  </si>
  <si>
    <t>Tank Nipple</t>
  </si>
  <si>
    <t>U953</t>
  </si>
  <si>
    <t>C272</t>
  </si>
  <si>
    <t>UM01091V01</t>
  </si>
  <si>
    <t>C273</t>
  </si>
  <si>
    <t>C274</t>
  </si>
  <si>
    <t>C275</t>
  </si>
  <si>
    <t>U954</t>
  </si>
  <si>
    <t>C276</t>
  </si>
  <si>
    <t>Tank Connector</t>
  </si>
  <si>
    <t>2 x 1⁄2</t>
  </si>
  <si>
    <t>50x15</t>
  </si>
  <si>
    <t>C272N</t>
  </si>
  <si>
    <t>U961</t>
  </si>
  <si>
    <t>CMN02090W</t>
  </si>
  <si>
    <t>C273N</t>
  </si>
  <si>
    <t>CMN020901</t>
  </si>
  <si>
    <t>C274N</t>
  </si>
  <si>
    <t>CMN02091U</t>
  </si>
  <si>
    <t>C275N</t>
  </si>
  <si>
    <t>U962</t>
  </si>
  <si>
    <t>CMN02091V</t>
  </si>
  <si>
    <t>C276N</t>
  </si>
  <si>
    <t>CMN020902</t>
  </si>
  <si>
    <t>C277N</t>
  </si>
  <si>
    <t>C278N</t>
  </si>
  <si>
    <t>U963</t>
  </si>
  <si>
    <t>C279N</t>
  </si>
  <si>
    <t>UM01090201</t>
  </si>
  <si>
    <t>Brass Elbow 90⁰</t>
  </si>
  <si>
    <t>C521</t>
  </si>
  <si>
    <t>U964</t>
  </si>
  <si>
    <t>C523</t>
  </si>
  <si>
    <t>C524</t>
  </si>
  <si>
    <t>C526</t>
  </si>
  <si>
    <t>U965</t>
  </si>
  <si>
    <t>C527</t>
  </si>
  <si>
    <t>UM0109021V</t>
  </si>
  <si>
    <t>1 x 1</t>
  </si>
  <si>
    <t>25x25</t>
  </si>
  <si>
    <t>C528</t>
  </si>
  <si>
    <t>1 x 1 1⁄4</t>
  </si>
  <si>
    <t>25x32</t>
  </si>
  <si>
    <t>C529</t>
  </si>
  <si>
    <t>Reducer Brass Tee</t>
  </si>
  <si>
    <t>1⁄2 x 1⁄2 x 1⁄2</t>
  </si>
  <si>
    <t>15x15x15</t>
  </si>
  <si>
    <t>C321</t>
  </si>
  <si>
    <t>Coupling (SCH-80)</t>
  </si>
  <si>
    <t>C322</t>
  </si>
  <si>
    <t>C323</t>
  </si>
  <si>
    <t>U41</t>
  </si>
  <si>
    <t>UM01020V</t>
  </si>
  <si>
    <t>U42</t>
  </si>
  <si>
    <t>1 x 1 x 1</t>
  </si>
  <si>
    <t>25x25x25</t>
  </si>
  <si>
    <t>C324</t>
  </si>
  <si>
    <t>UM01020W</t>
  </si>
  <si>
    <t>3⁄4 x 3⁄4 x 3⁄4</t>
  </si>
  <si>
    <t>20x20x20</t>
  </si>
  <si>
    <t>C333</t>
  </si>
  <si>
    <t>C342</t>
  </si>
  <si>
    <t>U43</t>
  </si>
  <si>
    <t>1 1⁄4 x 1 1⁄4 x 1 1⁄4</t>
  </si>
  <si>
    <t>32x32x32</t>
  </si>
  <si>
    <t>C344</t>
  </si>
  <si>
    <t>UM010201</t>
  </si>
  <si>
    <t>Reducer Brass Coupling</t>
  </si>
  <si>
    <t>C920</t>
  </si>
  <si>
    <t>U44</t>
  </si>
  <si>
    <t>C930</t>
  </si>
  <si>
    <t>C940</t>
  </si>
  <si>
    <t>UM01021U</t>
  </si>
  <si>
    <t>Brass Elbow 3 in 1 Mixer</t>
  </si>
  <si>
    <t>U45</t>
  </si>
  <si>
    <t>CM21</t>
  </si>
  <si>
    <t>CM02350W0V</t>
  </si>
  <si>
    <t>UM01021V</t>
  </si>
  <si>
    <t>CM31</t>
  </si>
  <si>
    <t>CM0235010V</t>
  </si>
  <si>
    <t>U46</t>
  </si>
  <si>
    <t>Brass Elbow Kitchen Mixer</t>
  </si>
  <si>
    <t>UM010202</t>
  </si>
  <si>
    <t>CM26</t>
  </si>
  <si>
    <t>End Plug</t>
  </si>
  <si>
    <t>PP1</t>
  </si>
  <si>
    <t>CMN02130V</t>
  </si>
  <si>
    <t>PP2</t>
  </si>
  <si>
    <t>CMN02130W</t>
  </si>
  <si>
    <t>U47</t>
  </si>
  <si>
    <t>Step Over Bend</t>
  </si>
  <si>
    <t>C12</t>
  </si>
  <si>
    <t>CMN02260W</t>
  </si>
  <si>
    <t>C13</t>
  </si>
  <si>
    <t>U48</t>
  </si>
  <si>
    <t>CMN022601</t>
  </si>
  <si>
    <t>C14</t>
  </si>
  <si>
    <t>CM02261U</t>
  </si>
  <si>
    <t>C15</t>
  </si>
  <si>
    <t>U49</t>
  </si>
  <si>
    <t>Ball Valve Handle</t>
  </si>
  <si>
    <t>CH22</t>
  </si>
  <si>
    <t>CH23</t>
  </si>
  <si>
    <t>CH24</t>
  </si>
  <si>
    <t>CH25</t>
  </si>
  <si>
    <t>CH26</t>
  </si>
  <si>
    <t>Coupling (SCH-40)</t>
  </si>
  <si>
    <t>Flange</t>
  </si>
  <si>
    <t>CF12</t>
  </si>
  <si>
    <t>U49N</t>
  </si>
  <si>
    <t>CF13</t>
  </si>
  <si>
    <t>CF14</t>
  </si>
  <si>
    <t>Pipe Clamp</t>
  </si>
  <si>
    <t>PC1</t>
  </si>
  <si>
    <t>PC2</t>
  </si>
  <si>
    <t>End Cap (SCH-80)</t>
  </si>
  <si>
    <t>PC3</t>
  </si>
  <si>
    <t>Pipe Clamp (Heavy Saddle with Powder Coating)</t>
  </si>
  <si>
    <t>PC21</t>
  </si>
  <si>
    <t>U601</t>
  </si>
  <si>
    <t>PC22</t>
  </si>
  <si>
    <t>UM01040V</t>
  </si>
  <si>
    <t>PC23</t>
  </si>
  <si>
    <t>PC24</t>
  </si>
  <si>
    <t>U602</t>
  </si>
  <si>
    <t>PC25</t>
  </si>
  <si>
    <t>PC26</t>
  </si>
  <si>
    <t>UM01040W</t>
  </si>
  <si>
    <t>Pipe Clamp (Zinc Plated)</t>
  </si>
  <si>
    <t>U603</t>
  </si>
  <si>
    <t>PC31</t>
  </si>
  <si>
    <t>UM010401</t>
  </si>
  <si>
    <t>PC32</t>
  </si>
  <si>
    <t>PC33</t>
  </si>
  <si>
    <t>PC34</t>
  </si>
  <si>
    <t>U604</t>
  </si>
  <si>
    <t>PC35</t>
  </si>
  <si>
    <t>UM01041U</t>
  </si>
  <si>
    <t>PC36</t>
  </si>
  <si>
    <t>Single Lever Concealed Diverter</t>
  </si>
  <si>
    <t>U605</t>
  </si>
  <si>
    <t>BODY</t>
  </si>
  <si>
    <t>UM01041V</t>
  </si>
  <si>
    <t>SL01</t>
  </si>
  <si>
    <t>U606</t>
  </si>
  <si>
    <t>UPPER PART</t>
  </si>
  <si>
    <t>UM010402</t>
  </si>
  <si>
    <t>SL02</t>
  </si>
  <si>
    <t>Solvent</t>
  </si>
  <si>
    <t>59 ML</t>
  </si>
  <si>
    <t>S3</t>
  </si>
  <si>
    <t>U607</t>
  </si>
  <si>
    <t>04 OZ/ 118 Tins</t>
  </si>
  <si>
    <t>S4</t>
  </si>
  <si>
    <t>08 OZ/237 Tins</t>
  </si>
  <si>
    <t>S5</t>
  </si>
  <si>
    <t>U608</t>
  </si>
  <si>
    <t>U609</t>
  </si>
  <si>
    <t>16 OZ/473 Tins</t>
  </si>
  <si>
    <t>S6</t>
  </si>
  <si>
    <t>U101</t>
  </si>
  <si>
    <t>UM01060V</t>
  </si>
  <si>
    <t>32 OZ/ 946 Tins</t>
  </si>
  <si>
    <t>S7</t>
  </si>
  <si>
    <t>U102</t>
  </si>
  <si>
    <t>UM01060W</t>
  </si>
  <si>
    <t>Long Concealed Valve (Quarter Turn)</t>
  </si>
  <si>
    <t>U103</t>
  </si>
  <si>
    <t>UM010601</t>
  </si>
  <si>
    <t>U104</t>
  </si>
  <si>
    <t>UM01061U</t>
  </si>
  <si>
    <t>U105</t>
  </si>
  <si>
    <t>VIVA</t>
  </si>
  <si>
    <t>CH80</t>
  </si>
  <si>
    <t>UM01061V</t>
  </si>
  <si>
    <t>SAGA</t>
  </si>
  <si>
    <t>U106</t>
  </si>
  <si>
    <t>CH79</t>
  </si>
  <si>
    <t>UM010602</t>
  </si>
  <si>
    <t>URBONA</t>
  </si>
  <si>
    <t>CH78</t>
  </si>
  <si>
    <t>MACASA</t>
  </si>
  <si>
    <t>CH76</t>
  </si>
  <si>
    <t>GRACIA</t>
  </si>
  <si>
    <t>CH74</t>
  </si>
  <si>
    <t>TRIANGULER</t>
  </si>
  <si>
    <t>CH72</t>
  </si>
  <si>
    <t>U107</t>
  </si>
  <si>
    <t>Full Turn Concealed Valve</t>
  </si>
  <si>
    <t>CH80 F</t>
  </si>
  <si>
    <t>U108</t>
  </si>
  <si>
    <t>CH79 F</t>
  </si>
  <si>
    <t>CH78 F</t>
  </si>
  <si>
    <t>U109</t>
  </si>
  <si>
    <t>CH76 F</t>
  </si>
  <si>
    <t>CH74 F</t>
  </si>
  <si>
    <t>CH72 F</t>
  </si>
  <si>
    <t>Short Concealed Valve (Quarter Turn)</t>
  </si>
  <si>
    <t>CH80 QS</t>
  </si>
  <si>
    <t>U89</t>
  </si>
  <si>
    <t>CH79 QS</t>
  </si>
  <si>
    <t>CH78 QS</t>
  </si>
  <si>
    <t>CH76 QS</t>
  </si>
  <si>
    <t>U90</t>
  </si>
  <si>
    <t>CH74 QS</t>
  </si>
  <si>
    <t>CH72 QS</t>
  </si>
  <si>
    <t>U91</t>
  </si>
  <si>
    <t>UM01070V</t>
  </si>
  <si>
    <t>U92</t>
  </si>
  <si>
    <t>CH90 F</t>
  </si>
  <si>
    <t>UM01070W</t>
  </si>
  <si>
    <t>CH89 F</t>
  </si>
  <si>
    <t>U93</t>
  </si>
  <si>
    <t>CH88 F</t>
  </si>
  <si>
    <t>UM010701</t>
  </si>
  <si>
    <t>CH86 F</t>
  </si>
  <si>
    <t>U94</t>
  </si>
  <si>
    <t>CH84 F</t>
  </si>
  <si>
    <t>UM01071U</t>
  </si>
  <si>
    <t>CH82 F</t>
  </si>
  <si>
    <t>U95</t>
  </si>
  <si>
    <t>1" Long Concealed Valve (Quarter Turn)</t>
  </si>
  <si>
    <t>UM01071V</t>
  </si>
  <si>
    <t>CH90</t>
  </si>
  <si>
    <t>U96</t>
  </si>
  <si>
    <t>CH89</t>
  </si>
  <si>
    <t>UM010702</t>
  </si>
  <si>
    <t>CH88</t>
  </si>
  <si>
    <t>CH86</t>
  </si>
  <si>
    <t>CH84</t>
  </si>
  <si>
    <t>CH82</t>
  </si>
  <si>
    <t>U97</t>
  </si>
  <si>
    <t>U98</t>
  </si>
  <si>
    <t>U99</t>
  </si>
  <si>
    <t>Male Adapter Brass Threads (SCH-80)</t>
  </si>
  <si>
    <t>U70</t>
  </si>
  <si>
    <t>UMN01130W0V</t>
  </si>
  <si>
    <t>U71</t>
  </si>
  <si>
    <t>UMN01130V</t>
  </si>
  <si>
    <t>U72</t>
  </si>
  <si>
    <t>UMN01130W</t>
  </si>
  <si>
    <t>U73</t>
  </si>
  <si>
    <t>UMN011301</t>
  </si>
  <si>
    <t>U74</t>
  </si>
  <si>
    <t>UMN01131U</t>
  </si>
  <si>
    <t>U75</t>
  </si>
  <si>
    <t>UMN01131V</t>
  </si>
  <si>
    <t>U76</t>
  </si>
  <si>
    <t>UMN011302</t>
  </si>
  <si>
    <t>U731</t>
  </si>
  <si>
    <t>UM0113010V</t>
  </si>
  <si>
    <t>Female Adapter Brass Threads (SCH-80)</t>
  </si>
  <si>
    <t>U81</t>
  </si>
  <si>
    <t>UMN01140V</t>
  </si>
  <si>
    <t>U82</t>
  </si>
  <si>
    <t>UMN01140W</t>
  </si>
  <si>
    <t>U83</t>
  </si>
  <si>
    <t>UMN011401</t>
  </si>
  <si>
    <t>U84</t>
  </si>
  <si>
    <t>UMN01141U</t>
  </si>
  <si>
    <t>U85</t>
  </si>
  <si>
    <t>UMN01141V</t>
  </si>
  <si>
    <t>U86</t>
  </si>
  <si>
    <t>UM011402</t>
  </si>
  <si>
    <t>U920</t>
  </si>
  <si>
    <t>UMN01140W0V</t>
  </si>
  <si>
    <t>U930</t>
  </si>
  <si>
    <t>UM0114010V</t>
  </si>
  <si>
    <t>Cross Tee (SCH-80)</t>
  </si>
  <si>
    <t>U310</t>
  </si>
  <si>
    <t>U320</t>
  </si>
  <si>
    <t>U330</t>
  </si>
  <si>
    <t>U340</t>
  </si>
  <si>
    <t>Ball Valve Butterfly Handle (SCH-80)</t>
  </si>
  <si>
    <t>U21</t>
  </si>
  <si>
    <t>U22</t>
  </si>
  <si>
    <t>U23</t>
  </si>
  <si>
    <t>U24</t>
  </si>
  <si>
    <t>U25</t>
  </si>
  <si>
    <t>U26</t>
  </si>
  <si>
    <t>Ball Valve Threaded Butterfly Handle (SCH-80)</t>
  </si>
  <si>
    <t>U21 T</t>
  </si>
  <si>
    <t>U22 T</t>
  </si>
  <si>
    <t>U23 T</t>
  </si>
  <si>
    <t>U24 T</t>
  </si>
  <si>
    <t>U25 T</t>
  </si>
  <si>
    <t>U26 T</t>
  </si>
  <si>
    <t>Ball Valve Long Lever Handle (SCH-80)</t>
  </si>
  <si>
    <t>U21-L</t>
  </si>
  <si>
    <t>U22-L</t>
  </si>
  <si>
    <t>U23-L</t>
  </si>
  <si>
    <t>U24-L</t>
  </si>
  <si>
    <t>U25-L</t>
  </si>
  <si>
    <t>U26-L</t>
  </si>
  <si>
    <t>U22 N</t>
  </si>
  <si>
    <t>U23 N</t>
  </si>
  <si>
    <t>U24 N</t>
  </si>
  <si>
    <t>U25 N</t>
  </si>
  <si>
    <t>U26 N</t>
  </si>
  <si>
    <t>U22 NL</t>
  </si>
  <si>
    <t>U23 NL</t>
  </si>
  <si>
    <t>U24 NL</t>
  </si>
  <si>
    <t>U25 NL</t>
  </si>
  <si>
    <t>U26 NL</t>
  </si>
  <si>
    <t>Tank Nipple (SCH-80)</t>
  </si>
  <si>
    <t>U272</t>
  </si>
  <si>
    <t>U273</t>
  </si>
  <si>
    <t>U274</t>
  </si>
  <si>
    <t>U275</t>
  </si>
  <si>
    <t>U276</t>
  </si>
  <si>
    <t>Tank Connector (SCH-80)</t>
  </si>
  <si>
    <t>U272N</t>
  </si>
  <si>
    <t>UM01170W</t>
  </si>
  <si>
    <t>U273N</t>
  </si>
  <si>
    <t>UM011701</t>
  </si>
  <si>
    <t>U274N</t>
  </si>
  <si>
    <t>UM01171U</t>
  </si>
  <si>
    <t>U275N</t>
  </si>
  <si>
    <t>UM01171V</t>
  </si>
  <si>
    <t>U276N</t>
  </si>
  <si>
    <t>UM011702</t>
  </si>
  <si>
    <t>U277N</t>
  </si>
  <si>
    <t>U278N</t>
  </si>
  <si>
    <t>U279N</t>
  </si>
  <si>
    <t>Reducer Brass Tee (SCH-80)</t>
  </si>
  <si>
    <t>U321</t>
  </si>
  <si>
    <t>U322</t>
  </si>
  <si>
    <t>U323</t>
  </si>
  <si>
    <t>U324</t>
  </si>
  <si>
    <t>Step Over Bend (SCH-80)</t>
  </si>
  <si>
    <t>U11</t>
  </si>
  <si>
    <t>UM01230V</t>
  </si>
  <si>
    <t>U12</t>
  </si>
  <si>
    <t>UM01230W</t>
  </si>
  <si>
    <t>U13</t>
  </si>
  <si>
    <t>UM012301</t>
  </si>
  <si>
    <t>U14</t>
  </si>
  <si>
    <t>UM01231U</t>
  </si>
  <si>
    <t>U15</t>
  </si>
  <si>
    <t>UF12</t>
  </si>
  <si>
    <t>UF13</t>
  </si>
  <si>
    <t>UF14</t>
  </si>
  <si>
    <t>Pipe Clamp (SCH-80)</t>
  </si>
  <si>
    <t>UC21</t>
  </si>
  <si>
    <t>UC22</t>
  </si>
  <si>
    <t>UC23</t>
  </si>
  <si>
    <t>Pipe Clamp (Heavy Saddle with Powder Coating) (SCH-80)</t>
  </si>
  <si>
    <t>UC1</t>
  </si>
  <si>
    <t>UC2</t>
  </si>
  <si>
    <t>UC3</t>
  </si>
  <si>
    <t>UC4</t>
  </si>
  <si>
    <t>UC5</t>
  </si>
  <si>
    <t>UC6</t>
  </si>
  <si>
    <t>Pipe Clamp (Heavy Saddle without Powder Coating) Zinc Plated (SCH-80)</t>
  </si>
  <si>
    <t>UC11</t>
  </si>
  <si>
    <t>UC12</t>
  </si>
  <si>
    <t>UC13</t>
  </si>
  <si>
    <t>UC14</t>
  </si>
  <si>
    <t>UC15</t>
  </si>
  <si>
    <t>UC16</t>
  </si>
  <si>
    <t>Solvent Aqua Clear</t>
  </si>
  <si>
    <t>59 ML Tin</t>
  </si>
  <si>
    <t>S13</t>
  </si>
  <si>
    <t>04 OZ/118 Tin</t>
  </si>
  <si>
    <t>S14</t>
  </si>
  <si>
    <t>08 OZ/237 Tin</t>
  </si>
  <si>
    <t>S15</t>
  </si>
  <si>
    <t>16 OZ/437 Tin</t>
  </si>
  <si>
    <t>S16</t>
  </si>
  <si>
    <t>32 OZ/946 Tin</t>
  </si>
  <si>
    <t>S17</t>
  </si>
  <si>
    <t>UH90</t>
  </si>
  <si>
    <t>UH89</t>
  </si>
  <si>
    <t>UH88</t>
  </si>
  <si>
    <t>UH86</t>
  </si>
  <si>
    <t>UH84</t>
  </si>
  <si>
    <t>UH82</t>
  </si>
  <si>
    <t>UH90-S</t>
  </si>
  <si>
    <t>UH89-S</t>
  </si>
  <si>
    <t>UH88-S</t>
  </si>
  <si>
    <t>UH86-S</t>
  </si>
  <si>
    <t>UH84-S</t>
  </si>
  <si>
    <t>UH82-S</t>
  </si>
  <si>
    <t>UH-80</t>
  </si>
  <si>
    <t>UH-79</t>
  </si>
  <si>
    <t>UH-78</t>
  </si>
  <si>
    <t>UH-76</t>
  </si>
  <si>
    <t>UH-74</t>
  </si>
  <si>
    <t>UH-72</t>
  </si>
  <si>
    <t>UH80-S</t>
  </si>
  <si>
    <t>UH79-S</t>
  </si>
  <si>
    <t>UH78-S</t>
  </si>
  <si>
    <t>UH76-S</t>
  </si>
  <si>
    <t>Length</t>
  </si>
  <si>
    <t>UH74-S</t>
  </si>
  <si>
    <t>UH72-S</t>
  </si>
  <si>
    <t>6 METERS</t>
  </si>
  <si>
    <t>2.5 KG</t>
  </si>
  <si>
    <t>UH90-F</t>
  </si>
  <si>
    <t>A-8C</t>
  </si>
  <si>
    <t>UH89-F</t>
  </si>
  <si>
    <t>APA001</t>
  </si>
  <si>
    <t>UH88-F</t>
  </si>
  <si>
    <t>A-9C</t>
  </si>
  <si>
    <t>APA002</t>
  </si>
  <si>
    <t>UH86-F</t>
  </si>
  <si>
    <t>A-10C</t>
  </si>
  <si>
    <t>APA003</t>
  </si>
  <si>
    <t>A-11C</t>
  </si>
  <si>
    <t>APA004</t>
  </si>
  <si>
    <t>UH84-F</t>
  </si>
  <si>
    <t>A-12C</t>
  </si>
  <si>
    <t>APA005</t>
  </si>
  <si>
    <t>A-13C</t>
  </si>
  <si>
    <t>APA006</t>
  </si>
  <si>
    <t>A-14C</t>
  </si>
  <si>
    <t>UH82-F</t>
  </si>
  <si>
    <t>APA007</t>
  </si>
  <si>
    <t>4 KG</t>
  </si>
  <si>
    <t>A-26C</t>
  </si>
  <si>
    <t>APA008</t>
  </si>
  <si>
    <t>A-27C</t>
  </si>
  <si>
    <t>APA009</t>
  </si>
  <si>
    <t>A-28C</t>
  </si>
  <si>
    <t>APA010</t>
  </si>
  <si>
    <t>A-29C</t>
  </si>
  <si>
    <t>APA011</t>
  </si>
  <si>
    <t>A-30C</t>
  </si>
  <si>
    <t>APA012</t>
  </si>
  <si>
    <t>A-31C</t>
  </si>
  <si>
    <t>APA013</t>
  </si>
  <si>
    <t>A-32C</t>
  </si>
  <si>
    <t>UH90-L</t>
  </si>
  <si>
    <t>APA014</t>
  </si>
  <si>
    <t>A-33C</t>
  </si>
  <si>
    <t>APA015</t>
  </si>
  <si>
    <t>A-34C</t>
  </si>
  <si>
    <t>APA016</t>
  </si>
  <si>
    <t>6 KG</t>
  </si>
  <si>
    <t>A-44C</t>
  </si>
  <si>
    <t>UH89-L</t>
  </si>
  <si>
    <t>APA017</t>
  </si>
  <si>
    <t>A-45C</t>
  </si>
  <si>
    <t>APA018</t>
  </si>
  <si>
    <t>A-46C</t>
  </si>
  <si>
    <t>APA019</t>
  </si>
  <si>
    <t>UH88-L</t>
  </si>
  <si>
    <t>A-47C</t>
  </si>
  <si>
    <t>APA020</t>
  </si>
  <si>
    <t>AGRI FITTINGS (10 KG)</t>
  </si>
  <si>
    <t>A-48C</t>
  </si>
  <si>
    <t>UH86-L</t>
  </si>
  <si>
    <t>APA021</t>
  </si>
  <si>
    <t>A-49C</t>
  </si>
  <si>
    <t>COUPLER</t>
  </si>
  <si>
    <t>APA022</t>
  </si>
  <si>
    <t>UH84-L</t>
  </si>
  <si>
    <t>A-50C</t>
  </si>
  <si>
    <t>APA023</t>
  </si>
  <si>
    <t>A-51C</t>
  </si>
  <si>
    <t>APA024</t>
  </si>
  <si>
    <t>A-52C</t>
  </si>
  <si>
    <t>APA025</t>
  </si>
  <si>
    <t>A-211</t>
  </si>
  <si>
    <t>UH82-L</t>
  </si>
  <si>
    <t>A-53C</t>
  </si>
  <si>
    <t>APA026</t>
  </si>
  <si>
    <t>A-54C</t>
  </si>
  <si>
    <t>APA027</t>
  </si>
  <si>
    <t>10 KG</t>
  </si>
  <si>
    <t>A-81C</t>
  </si>
  <si>
    <t>A-212</t>
  </si>
  <si>
    <t>APA028</t>
  </si>
  <si>
    <t>A-82C</t>
  </si>
  <si>
    <t>APA029</t>
  </si>
  <si>
    <t>A-213</t>
  </si>
  <si>
    <t>A-83C</t>
  </si>
  <si>
    <t>A-214</t>
  </si>
  <si>
    <t>APA030</t>
  </si>
  <si>
    <t>A-84C</t>
  </si>
  <si>
    <t>APA031</t>
  </si>
  <si>
    <t>A-215</t>
  </si>
  <si>
    <t>A-85C</t>
  </si>
  <si>
    <t>APA032</t>
  </si>
  <si>
    <t>A-86C</t>
  </si>
  <si>
    <t>EQUAL TEE</t>
  </si>
  <si>
    <t>APA033</t>
  </si>
  <si>
    <t>A-87C</t>
  </si>
  <si>
    <t>APA034</t>
  </si>
  <si>
    <t>A-88C</t>
  </si>
  <si>
    <t>APA035</t>
  </si>
  <si>
    <t>A-311</t>
  </si>
  <si>
    <t>A-89C</t>
  </si>
  <si>
    <t>APA036</t>
  </si>
  <si>
    <t>A-90C</t>
  </si>
  <si>
    <t>APA037</t>
  </si>
  <si>
    <t>A-91C</t>
  </si>
  <si>
    <t>A-312</t>
  </si>
  <si>
    <t>APA038</t>
  </si>
  <si>
    <t>A-92C</t>
  </si>
  <si>
    <t>APA039</t>
  </si>
  <si>
    <t>A-93C</t>
  </si>
  <si>
    <t>A-313</t>
  </si>
  <si>
    <t>APA040</t>
  </si>
  <si>
    <t>A-94C</t>
  </si>
  <si>
    <t>APA041</t>
  </si>
  <si>
    <t>A-314</t>
  </si>
  <si>
    <t>5 METERS</t>
  </si>
  <si>
    <t>A-315</t>
  </si>
  <si>
    <t>A-8B</t>
  </si>
  <si>
    <t>APA042</t>
  </si>
  <si>
    <t>ELBOW 90⁰</t>
  </si>
  <si>
    <t>A-9B</t>
  </si>
  <si>
    <t>A-411</t>
  </si>
  <si>
    <t>APA043</t>
  </si>
  <si>
    <t>A-10B</t>
  </si>
  <si>
    <t>A-412</t>
  </si>
  <si>
    <t>APA044</t>
  </si>
  <si>
    <t>A-11B</t>
  </si>
  <si>
    <t>APA045</t>
  </si>
  <si>
    <t>A-413</t>
  </si>
  <si>
    <t>A-12B</t>
  </si>
  <si>
    <t>APA046</t>
  </si>
  <si>
    <t>A-13B</t>
  </si>
  <si>
    <t>A-414</t>
  </si>
  <si>
    <t>APA047</t>
  </si>
  <si>
    <t>A-14B</t>
  </si>
  <si>
    <t>APA048</t>
  </si>
  <si>
    <t>A-415</t>
  </si>
  <si>
    <t>A-26B</t>
  </si>
  <si>
    <t>APA049</t>
  </si>
  <si>
    <t>ELBOW 45⁰</t>
  </si>
  <si>
    <t>A-27B</t>
  </si>
  <si>
    <t>APA050</t>
  </si>
  <si>
    <t>A-28B</t>
  </si>
  <si>
    <t>A-511</t>
  </si>
  <si>
    <t>APA051</t>
  </si>
  <si>
    <t>A-29B</t>
  </si>
  <si>
    <t>A-512</t>
  </si>
  <si>
    <t>APA052</t>
  </si>
  <si>
    <t>A-30B</t>
  </si>
  <si>
    <t>APA053</t>
  </si>
  <si>
    <t>A-31B</t>
  </si>
  <si>
    <t>A-513</t>
  </si>
  <si>
    <t>APA054</t>
  </si>
  <si>
    <t>A-32B</t>
  </si>
  <si>
    <t>A-514</t>
  </si>
  <si>
    <t>APA055</t>
  </si>
  <si>
    <t>A-33B</t>
  </si>
  <si>
    <t>APA056</t>
  </si>
  <si>
    <t>A-34B</t>
  </si>
  <si>
    <t>APA057</t>
  </si>
  <si>
    <t>A-515</t>
  </si>
  <si>
    <t>A-44B</t>
  </si>
  <si>
    <t>APA058</t>
  </si>
  <si>
    <t>A-45B</t>
  </si>
  <si>
    <t>APA059</t>
  </si>
  <si>
    <t>A-46B</t>
  </si>
  <si>
    <t>APA060</t>
  </si>
  <si>
    <t>AGRI FITTINGS (6 KG)</t>
  </si>
  <si>
    <t>A-47B</t>
  </si>
  <si>
    <t>APA061</t>
  </si>
  <si>
    <t>A-48B</t>
  </si>
  <si>
    <t>APA062</t>
  </si>
  <si>
    <t>A-49B</t>
  </si>
  <si>
    <t>A-264</t>
  </si>
  <si>
    <t>APA063</t>
  </si>
  <si>
    <t>A-50B</t>
  </si>
  <si>
    <t>PM03281U</t>
  </si>
  <si>
    <t>APA064</t>
  </si>
  <si>
    <t>A-265</t>
  </si>
  <si>
    <t>A-51B</t>
  </si>
  <si>
    <t>APA065</t>
  </si>
  <si>
    <t>PM03281V</t>
  </si>
  <si>
    <t>A-52B</t>
  </si>
  <si>
    <t>A-266</t>
  </si>
  <si>
    <t>APA066</t>
  </si>
  <si>
    <t>A-53B</t>
  </si>
  <si>
    <t>PMN32802</t>
  </si>
  <si>
    <t>APA067</t>
  </si>
  <si>
    <t>A-267</t>
  </si>
  <si>
    <t>A-54B</t>
  </si>
  <si>
    <t>APA068</t>
  </si>
  <si>
    <t>PMN03282V</t>
  </si>
  <si>
    <t>A-268</t>
  </si>
  <si>
    <t>A-81B</t>
  </si>
  <si>
    <t>PMN32803</t>
  </si>
  <si>
    <t>APA069</t>
  </si>
  <si>
    <t>A-82B</t>
  </si>
  <si>
    <t>APA070</t>
  </si>
  <si>
    <t>A-269</t>
  </si>
  <si>
    <t>A-83B</t>
  </si>
  <si>
    <t>PMN32804</t>
  </si>
  <si>
    <t>APA071</t>
  </si>
  <si>
    <t>A-270</t>
  </si>
  <si>
    <t>A-84B</t>
  </si>
  <si>
    <t>APA072</t>
  </si>
  <si>
    <t>A-85B</t>
  </si>
  <si>
    <t>A-271</t>
  </si>
  <si>
    <t>APA073</t>
  </si>
  <si>
    <t>A-86B</t>
  </si>
  <si>
    <t>APA074</t>
  </si>
  <si>
    <t>A-272</t>
  </si>
  <si>
    <t>A-87B</t>
  </si>
  <si>
    <t>APA075</t>
  </si>
  <si>
    <t>A-88B</t>
  </si>
  <si>
    <t>APA076</t>
  </si>
  <si>
    <t>A-89B</t>
  </si>
  <si>
    <t>APA077</t>
  </si>
  <si>
    <t>PMN032806</t>
  </si>
  <si>
    <t>A-90B</t>
  </si>
  <si>
    <t>APA078</t>
  </si>
  <si>
    <t>A-91B</t>
  </si>
  <si>
    <t>APA079</t>
  </si>
  <si>
    <t>A-92B</t>
  </si>
  <si>
    <t>APA080</t>
  </si>
  <si>
    <t>A-93B</t>
  </si>
  <si>
    <t>APA081</t>
  </si>
  <si>
    <t>A-94B</t>
  </si>
  <si>
    <t>APA082</t>
  </si>
  <si>
    <t>A-364</t>
  </si>
  <si>
    <t>3 METERS</t>
  </si>
  <si>
    <t>A-8A</t>
  </si>
  <si>
    <t>A-365</t>
  </si>
  <si>
    <t>APA083</t>
  </si>
  <si>
    <t>A-9A</t>
  </si>
  <si>
    <t>A-366</t>
  </si>
  <si>
    <t>APA084</t>
  </si>
  <si>
    <t>A-10A</t>
  </si>
  <si>
    <t>A-367</t>
  </si>
  <si>
    <t>APA085</t>
  </si>
  <si>
    <t>A-11A</t>
  </si>
  <si>
    <t>APA086</t>
  </si>
  <si>
    <t>A-368</t>
  </si>
  <si>
    <t>A-12A</t>
  </si>
  <si>
    <t>APA087</t>
  </si>
  <si>
    <t>A-369</t>
  </si>
  <si>
    <t>A-13A</t>
  </si>
  <si>
    <t>APA088</t>
  </si>
  <si>
    <t>A-14A</t>
  </si>
  <si>
    <t>A-370</t>
  </si>
  <si>
    <t>APA089</t>
  </si>
  <si>
    <t>A-26A</t>
  </si>
  <si>
    <t>APA090</t>
  </si>
  <si>
    <t>A-371</t>
  </si>
  <si>
    <t>A-27A</t>
  </si>
  <si>
    <t>APA091</t>
  </si>
  <si>
    <t>A-372</t>
  </si>
  <si>
    <t>A-28A</t>
  </si>
  <si>
    <t>APA092</t>
  </si>
  <si>
    <t>A-29A</t>
  </si>
  <si>
    <t>APA093</t>
  </si>
  <si>
    <t>A-30A</t>
  </si>
  <si>
    <t>A-464</t>
  </si>
  <si>
    <t>APA094</t>
  </si>
  <si>
    <t>A-31A</t>
  </si>
  <si>
    <t>A-465</t>
  </si>
  <si>
    <t>APA095</t>
  </si>
  <si>
    <t>A-32A</t>
  </si>
  <si>
    <t>APA096</t>
  </si>
  <si>
    <t>A-466</t>
  </si>
  <si>
    <t>A-33A</t>
  </si>
  <si>
    <t>APA097</t>
  </si>
  <si>
    <t>A-34A</t>
  </si>
  <si>
    <t>A-467</t>
  </si>
  <si>
    <t>APA098</t>
  </si>
  <si>
    <t>A-44A</t>
  </si>
  <si>
    <t>A-468</t>
  </si>
  <si>
    <t>APA099</t>
  </si>
  <si>
    <t>A-45A</t>
  </si>
  <si>
    <t>APA100</t>
  </si>
  <si>
    <t>A-469</t>
  </si>
  <si>
    <t>A-46A</t>
  </si>
  <si>
    <t>A-470</t>
  </si>
  <si>
    <t>APA101</t>
  </si>
  <si>
    <t>A-47A</t>
  </si>
  <si>
    <t>APA102</t>
  </si>
  <si>
    <t>A-471</t>
  </si>
  <si>
    <t>A-48A</t>
  </si>
  <si>
    <t>A-472</t>
  </si>
  <si>
    <t>APA103</t>
  </si>
  <si>
    <t>A-49A</t>
  </si>
  <si>
    <t>APA104</t>
  </si>
  <si>
    <t>A-503</t>
  </si>
  <si>
    <t>A-50A</t>
  </si>
  <si>
    <t>APA105</t>
  </si>
  <si>
    <t>A-504</t>
  </si>
  <si>
    <t>A-51A</t>
  </si>
  <si>
    <t>A-505</t>
  </si>
  <si>
    <t>APA106</t>
  </si>
  <si>
    <t>A-52A</t>
  </si>
  <si>
    <t>END CAP</t>
  </si>
  <si>
    <t>APA107</t>
  </si>
  <si>
    <t>A-564</t>
  </si>
  <si>
    <t>A-53A</t>
  </si>
  <si>
    <t>APA108</t>
  </si>
  <si>
    <t>A-54A</t>
  </si>
  <si>
    <t>APA109</t>
  </si>
  <si>
    <t>A-81A</t>
  </si>
  <si>
    <t>A-565</t>
  </si>
  <si>
    <t>A-566</t>
  </si>
  <si>
    <t>APA110</t>
  </si>
  <si>
    <t>A-82A</t>
  </si>
  <si>
    <t>A-567</t>
  </si>
  <si>
    <t>APA111</t>
  </si>
  <si>
    <t>A-83A</t>
  </si>
  <si>
    <t>A-568</t>
  </si>
  <si>
    <t>APA112</t>
  </si>
  <si>
    <t>A-84A</t>
  </si>
  <si>
    <t>APA113</t>
  </si>
  <si>
    <t>A-569</t>
  </si>
  <si>
    <t>A-85A</t>
  </si>
  <si>
    <t>APA114</t>
  </si>
  <si>
    <t>A-570</t>
  </si>
  <si>
    <t>A-86A</t>
  </si>
  <si>
    <t>APA115</t>
  </si>
  <si>
    <t>A-87A</t>
  </si>
  <si>
    <t>A-571</t>
  </si>
  <si>
    <t>APA116</t>
  </si>
  <si>
    <t>A-88A</t>
  </si>
  <si>
    <t>A-572</t>
  </si>
  <si>
    <t>APA117</t>
  </si>
  <si>
    <t>A-89A</t>
  </si>
  <si>
    <t>APA118</t>
  </si>
  <si>
    <t>REDUCER TEE</t>
  </si>
  <si>
    <t>A-90A</t>
  </si>
  <si>
    <t>APA119</t>
  </si>
  <si>
    <t>75 x 50</t>
  </si>
  <si>
    <t>A-661</t>
  </si>
  <si>
    <t>A-91A</t>
  </si>
  <si>
    <t>APA120</t>
  </si>
  <si>
    <t>A-92A</t>
  </si>
  <si>
    <t>75 x 63</t>
  </si>
  <si>
    <t>A-662</t>
  </si>
  <si>
    <t>APA121</t>
  </si>
  <si>
    <t>A-93A</t>
  </si>
  <si>
    <t>APA122</t>
  </si>
  <si>
    <t>90 x 63</t>
  </si>
  <si>
    <t>A-663</t>
  </si>
  <si>
    <t>A-94A</t>
  </si>
  <si>
    <t>APA123</t>
  </si>
  <si>
    <t>90 x 75</t>
  </si>
  <si>
    <t>A-664</t>
  </si>
  <si>
    <t>110 x 63</t>
  </si>
  <si>
    <t>A-665</t>
  </si>
  <si>
    <t>110 x 75</t>
  </si>
  <si>
    <t>A-666</t>
  </si>
  <si>
    <t>110 x 90</t>
  </si>
  <si>
    <t>A-667</t>
  </si>
  <si>
    <t>140 x 75</t>
  </si>
  <si>
    <t>A-668</t>
  </si>
  <si>
    <t>140 x 90</t>
  </si>
  <si>
    <t>A-669</t>
  </si>
  <si>
    <t>160 x 75</t>
  </si>
  <si>
    <t>A-670</t>
  </si>
  <si>
    <t>160 x 90</t>
  </si>
  <si>
    <t>A-671</t>
  </si>
  <si>
    <t>160 x 110</t>
  </si>
  <si>
    <t>A-672</t>
  </si>
  <si>
    <t>REDUCER COUPLER</t>
  </si>
  <si>
    <t>A-761</t>
  </si>
  <si>
    <t>A-762</t>
  </si>
  <si>
    <t>90 x 50</t>
  </si>
  <si>
    <t>A-763</t>
  </si>
  <si>
    <t>A-764</t>
  </si>
  <si>
    <t>A-765</t>
  </si>
  <si>
    <t>A-766</t>
  </si>
  <si>
    <t>A-767</t>
  </si>
  <si>
    <t>A-768</t>
  </si>
  <si>
    <t>A-769</t>
  </si>
  <si>
    <t>A-770</t>
  </si>
  <si>
    <t>PVC SOLVENT CEMENT</t>
  </si>
  <si>
    <t>250 ML Tin</t>
  </si>
  <si>
    <t>S45</t>
  </si>
  <si>
    <t>500 ML Tin</t>
  </si>
  <si>
    <t>S46</t>
  </si>
  <si>
    <t>1000 ML Tin</t>
  </si>
  <si>
    <t>S47</t>
  </si>
  <si>
    <t>AGRI FITTINGS (4 KG)</t>
  </si>
  <si>
    <t>A-246</t>
  </si>
  <si>
    <t>A-247</t>
  </si>
  <si>
    <t>A-248</t>
  </si>
  <si>
    <t>A-249</t>
  </si>
  <si>
    <t>A-242</t>
  </si>
  <si>
    <t>A-243</t>
  </si>
  <si>
    <t>A-346</t>
  </si>
  <si>
    <t>PM038502</t>
  </si>
  <si>
    <t>A-347</t>
  </si>
  <si>
    <t>PM03852V</t>
  </si>
  <si>
    <t>A-348</t>
  </si>
  <si>
    <t>PM038503</t>
  </si>
  <si>
    <t>A-349</t>
  </si>
  <si>
    <t>PM038504</t>
  </si>
  <si>
    <t>A-342</t>
  </si>
  <si>
    <t>A-343</t>
  </si>
  <si>
    <t>A-446</t>
  </si>
  <si>
    <t>PM039602</t>
  </si>
  <si>
    <t>A-447</t>
  </si>
  <si>
    <t>PM03962V</t>
  </si>
  <si>
    <t>A-448</t>
  </si>
  <si>
    <t>PM039603</t>
  </si>
  <si>
    <t>A-449</t>
  </si>
  <si>
    <t>PM039604</t>
  </si>
  <si>
    <t>A-442</t>
  </si>
  <si>
    <t>A-443</t>
  </si>
  <si>
    <t>A-546</t>
  </si>
  <si>
    <t>A-547</t>
  </si>
  <si>
    <t>A-548</t>
  </si>
  <si>
    <t>A-549</t>
  </si>
  <si>
    <t>A-542</t>
  </si>
  <si>
    <t>A-543</t>
  </si>
  <si>
    <t>BUSH</t>
  </si>
  <si>
    <t>50 x 40</t>
  </si>
  <si>
    <t>A-702</t>
  </si>
  <si>
    <t>A-703</t>
  </si>
  <si>
    <t>75 x 110</t>
  </si>
  <si>
    <t>A-704</t>
  </si>
  <si>
    <t>A-509</t>
  </si>
  <si>
    <t>A-510</t>
  </si>
  <si>
    <t>REDUCER ELBOW</t>
  </si>
  <si>
    <t>A-417</t>
  </si>
  <si>
    <t>A-419</t>
  </si>
  <si>
    <t>REDUCER  BUSH</t>
  </si>
  <si>
    <t>20 x 25</t>
  </si>
  <si>
    <t>A-711</t>
  </si>
  <si>
    <t>20 x 32</t>
  </si>
  <si>
    <t>A-712</t>
  </si>
  <si>
    <t>20 x 40</t>
  </si>
  <si>
    <t>A-713</t>
  </si>
  <si>
    <t>20 x 50</t>
  </si>
  <si>
    <t>A-714</t>
  </si>
  <si>
    <t>25 x 32</t>
  </si>
  <si>
    <t>A-715</t>
  </si>
  <si>
    <t>25 x 40</t>
  </si>
  <si>
    <t>A-716</t>
  </si>
  <si>
    <t>25 x 50</t>
  </si>
  <si>
    <t>A-717</t>
  </si>
  <si>
    <t>32 x 40</t>
  </si>
  <si>
    <t>A-718</t>
  </si>
  <si>
    <t>32 x 50</t>
  </si>
  <si>
    <t>A-719</t>
  </si>
  <si>
    <t>40 x 63</t>
  </si>
  <si>
    <t>A-720</t>
  </si>
  <si>
    <t>50 x 63</t>
  </si>
  <si>
    <t>A-721</t>
  </si>
  <si>
    <t>AGRI FITTINGS (2.5 KG)</t>
  </si>
  <si>
    <t>A-227</t>
  </si>
  <si>
    <t>A-228</t>
  </si>
  <si>
    <t>A-229</t>
  </si>
  <si>
    <t>A-327</t>
  </si>
  <si>
    <t>PMN03052V</t>
  </si>
  <si>
    <t>A-328</t>
  </si>
  <si>
    <t>PMN030503</t>
  </si>
  <si>
    <t>A-329</t>
  </si>
  <si>
    <t>PMN030504</t>
  </si>
  <si>
    <t>A-427</t>
  </si>
  <si>
    <t>PMN03022V</t>
  </si>
  <si>
    <t>A-428</t>
  </si>
  <si>
    <t>PMN030203</t>
  </si>
  <si>
    <t>A-429</t>
  </si>
  <si>
    <t>PMN030204</t>
  </si>
  <si>
    <t>AGRI FITTINGS PN-6</t>
  </si>
  <si>
    <t>AS-246</t>
  </si>
  <si>
    <t>AS-247</t>
  </si>
  <si>
    <t>AS-248</t>
  </si>
  <si>
    <t>AS-249</t>
  </si>
  <si>
    <t>AS-242</t>
  </si>
  <si>
    <t>AS-243</t>
  </si>
  <si>
    <t>AS-346</t>
  </si>
  <si>
    <t>PM030602</t>
  </si>
  <si>
    <t>AS-347</t>
  </si>
  <si>
    <t>PMN03062V</t>
  </si>
  <si>
    <t>AS-348</t>
  </si>
  <si>
    <t>PMN030603</t>
  </si>
  <si>
    <t>AS-349</t>
  </si>
  <si>
    <t>PMN030604</t>
  </si>
  <si>
    <t>AS-342</t>
  </si>
  <si>
    <t>AS-343</t>
  </si>
  <si>
    <t>AS-446</t>
  </si>
  <si>
    <t>PM030302</t>
  </si>
  <si>
    <t>AS-447</t>
  </si>
  <si>
    <t>PMN03032V</t>
  </si>
  <si>
    <t>AS-448</t>
  </si>
  <si>
    <t>PMN030303</t>
  </si>
  <si>
    <t>AS-449</t>
  </si>
  <si>
    <t>PMN030304</t>
  </si>
  <si>
    <t>AS-442</t>
  </si>
  <si>
    <t>AS-443</t>
  </si>
  <si>
    <t>PT010208</t>
  </si>
  <si>
    <t>AS-546</t>
  </si>
  <si>
    <t>PMN32902</t>
  </si>
  <si>
    <t>AS-547</t>
  </si>
  <si>
    <t>PMN03292V</t>
  </si>
  <si>
    <t>AS-548</t>
  </si>
  <si>
    <t>AS-549</t>
  </si>
  <si>
    <t>AS-542</t>
  </si>
  <si>
    <t>PT010506</t>
  </si>
  <si>
    <t>AS-543</t>
  </si>
  <si>
    <t>AGRI FITTINGS PN -4</t>
  </si>
  <si>
    <t>AS-227</t>
  </si>
  <si>
    <t>AS-228</t>
  </si>
  <si>
    <t>AS-229</t>
  </si>
  <si>
    <t>AS-327</t>
  </si>
  <si>
    <t>PMN03042V</t>
  </si>
  <si>
    <t>AS-328</t>
  </si>
  <si>
    <t>PMN030403</t>
  </si>
  <si>
    <t>AS-329</t>
  </si>
  <si>
    <t>PMN030404</t>
  </si>
  <si>
    <t>PMN03012V</t>
  </si>
  <si>
    <t>PMN030103</t>
  </si>
  <si>
    <t>PMN030104</t>
  </si>
  <si>
    <t>Length (Mtr)</t>
  </si>
  <si>
    <t>Socket</t>
  </si>
  <si>
    <t>SWR PIPE TYPE "A"</t>
  </si>
  <si>
    <t>3 Meter</t>
  </si>
  <si>
    <t>S/S</t>
  </si>
  <si>
    <t>PW 71</t>
  </si>
  <si>
    <t>APS001</t>
  </si>
  <si>
    <t>D/S</t>
  </si>
  <si>
    <t>PW 72</t>
  </si>
  <si>
    <t>APS002</t>
  </si>
  <si>
    <t>6 Meter</t>
  </si>
  <si>
    <t>PW 73</t>
  </si>
  <si>
    <t>APS003</t>
  </si>
  <si>
    <t>PW 74</t>
  </si>
  <si>
    <t>APS004</t>
  </si>
  <si>
    <t>2 Feet</t>
  </si>
  <si>
    <t>PW 75</t>
  </si>
  <si>
    <t>APS005</t>
  </si>
  <si>
    <t>3 Feet</t>
  </si>
  <si>
    <t>PW 76</t>
  </si>
  <si>
    <t>APS006</t>
  </si>
  <si>
    <t>4 Feet</t>
  </si>
  <si>
    <t>PW 77</t>
  </si>
  <si>
    <t>APS007</t>
  </si>
  <si>
    <t>6 Feet</t>
  </si>
  <si>
    <t>PW 78</t>
  </si>
  <si>
    <t>APS008</t>
  </si>
  <si>
    <t>PW 79</t>
  </si>
  <si>
    <t>APS009</t>
  </si>
  <si>
    <t>PW 80</t>
  </si>
  <si>
    <t>APS010</t>
  </si>
  <si>
    <t>PW 91</t>
  </si>
  <si>
    <t>APS011</t>
  </si>
  <si>
    <t>PW 92</t>
  </si>
  <si>
    <t>APS012</t>
  </si>
  <si>
    <t>PW 93</t>
  </si>
  <si>
    <t>APS013</t>
  </si>
  <si>
    <t>PW 94</t>
  </si>
  <si>
    <t>APS014</t>
  </si>
  <si>
    <t>PW 95</t>
  </si>
  <si>
    <t>APS015</t>
  </si>
  <si>
    <t>PW 96</t>
  </si>
  <si>
    <t>APS016</t>
  </si>
  <si>
    <t>PW 97</t>
  </si>
  <si>
    <t>APS017</t>
  </si>
  <si>
    <t>PW 98</t>
  </si>
  <si>
    <t>APS018</t>
  </si>
  <si>
    <t>PW 99</t>
  </si>
  <si>
    <t>APS019</t>
  </si>
  <si>
    <t>PW 100</t>
  </si>
  <si>
    <t>APS020</t>
  </si>
  <si>
    <t>PW 11</t>
  </si>
  <si>
    <t>APS021</t>
  </si>
  <si>
    <t>PW 12</t>
  </si>
  <si>
    <t>APS022</t>
  </si>
  <si>
    <t>PW 13</t>
  </si>
  <si>
    <t>APS023</t>
  </si>
  <si>
    <t>PW 14</t>
  </si>
  <si>
    <t>APS024</t>
  </si>
  <si>
    <t>PW 15</t>
  </si>
  <si>
    <t>APS025</t>
  </si>
  <si>
    <t>PW 16</t>
  </si>
  <si>
    <t>APS026</t>
  </si>
  <si>
    <t>PW 17</t>
  </si>
  <si>
    <t>APS027</t>
  </si>
  <si>
    <t>PW 18</t>
  </si>
  <si>
    <t>APS028</t>
  </si>
  <si>
    <t>PW 19</t>
  </si>
  <si>
    <t>APS029</t>
  </si>
  <si>
    <t>PW 20</t>
  </si>
  <si>
    <t>APS030</t>
  </si>
  <si>
    <t>PW 61</t>
  </si>
  <si>
    <t>APS031</t>
  </si>
  <si>
    <t>PW 62</t>
  </si>
  <si>
    <t>APS032</t>
  </si>
  <si>
    <t>PW 63</t>
  </si>
  <si>
    <t>APS033</t>
  </si>
  <si>
    <t>PW 64</t>
  </si>
  <si>
    <t>APS034</t>
  </si>
  <si>
    <t>PW 65</t>
  </si>
  <si>
    <t>APS035</t>
  </si>
  <si>
    <t>PW 66</t>
  </si>
  <si>
    <t>APS036</t>
  </si>
  <si>
    <t>PW 67</t>
  </si>
  <si>
    <t>APS037</t>
  </si>
  <si>
    <t>PW 68</t>
  </si>
  <si>
    <t>APS038</t>
  </si>
  <si>
    <t>PW 69</t>
  </si>
  <si>
    <t>APS039</t>
  </si>
  <si>
    <t>PW 70</t>
  </si>
  <si>
    <t>APS040</t>
  </si>
  <si>
    <t>SWR PIPE TYPE "B"</t>
  </si>
  <si>
    <t>PW 31</t>
  </si>
  <si>
    <t>APS041</t>
  </si>
  <si>
    <t>PW 32</t>
  </si>
  <si>
    <t>APS042</t>
  </si>
  <si>
    <t>PW 33</t>
  </si>
  <si>
    <t>APS043</t>
  </si>
  <si>
    <t>PW 34</t>
  </si>
  <si>
    <t>APS044</t>
  </si>
  <si>
    <t>PW 35</t>
  </si>
  <si>
    <t>APS045</t>
  </si>
  <si>
    <t>PW 36</t>
  </si>
  <si>
    <t>APS046</t>
  </si>
  <si>
    <t>PW 37</t>
  </si>
  <si>
    <t>APS047</t>
  </si>
  <si>
    <t>PW 38</t>
  </si>
  <si>
    <t>APS048</t>
  </si>
  <si>
    <t>PW 39</t>
  </si>
  <si>
    <t>APS049</t>
  </si>
  <si>
    <t>PW 40</t>
  </si>
  <si>
    <t>APS050</t>
  </si>
  <si>
    <t>PW 81</t>
  </si>
  <si>
    <t>APS051</t>
  </si>
  <si>
    <t>PW 82</t>
  </si>
  <si>
    <t>APS052</t>
  </si>
  <si>
    <t>PW 83</t>
  </si>
  <si>
    <t>APS053</t>
  </si>
  <si>
    <t>PW 84</t>
  </si>
  <si>
    <t>APS054</t>
  </si>
  <si>
    <t>PW 85</t>
  </si>
  <si>
    <t>APS055</t>
  </si>
  <si>
    <t>PW 86</t>
  </si>
  <si>
    <t>SWR FITTINGS</t>
  </si>
  <si>
    <t>APS056</t>
  </si>
  <si>
    <t>PW 87</t>
  </si>
  <si>
    <t>APS057</t>
  </si>
  <si>
    <t>PW 88</t>
  </si>
  <si>
    <t>APS058</t>
  </si>
  <si>
    <t>PW 89</t>
  </si>
  <si>
    <t>APS059</t>
  </si>
  <si>
    <t>PW 90</t>
  </si>
  <si>
    <t>Bend 45⁰</t>
  </si>
  <si>
    <t>APS060</t>
  </si>
  <si>
    <t>PW 21</t>
  </si>
  <si>
    <t>APS061</t>
  </si>
  <si>
    <t>PW 22</t>
  </si>
  <si>
    <t>APS062</t>
  </si>
  <si>
    <t>PW 23</t>
  </si>
  <si>
    <t>APS063</t>
  </si>
  <si>
    <t>5710</t>
  </si>
  <si>
    <t>PW 24</t>
  </si>
  <si>
    <t>APS064</t>
  </si>
  <si>
    <t>PW 25</t>
  </si>
  <si>
    <t>APS065</t>
  </si>
  <si>
    <t>PW 26</t>
  </si>
  <si>
    <t>PMNN3342V</t>
  </si>
  <si>
    <t>APS066</t>
  </si>
  <si>
    <t>PW 27</t>
  </si>
  <si>
    <t>APS067</t>
  </si>
  <si>
    <t>PW 28</t>
  </si>
  <si>
    <t>5910</t>
  </si>
  <si>
    <t>APS068</t>
  </si>
  <si>
    <t>PW 29</t>
  </si>
  <si>
    <t>PMN033403</t>
  </si>
  <si>
    <t>APS069</t>
  </si>
  <si>
    <t>PW 30</t>
  </si>
  <si>
    <t>APS070</t>
  </si>
  <si>
    <t>5110</t>
  </si>
  <si>
    <t>PW 51</t>
  </si>
  <si>
    <t>PMNN033404</t>
  </si>
  <si>
    <t>APS071</t>
  </si>
  <si>
    <t>PW 52</t>
  </si>
  <si>
    <t>5610</t>
  </si>
  <si>
    <t>APS072</t>
  </si>
  <si>
    <t>PW 53</t>
  </si>
  <si>
    <t>PMNN033406</t>
  </si>
  <si>
    <t>APS073</t>
  </si>
  <si>
    <t>PW 54</t>
  </si>
  <si>
    <t>APS074</t>
  </si>
  <si>
    <t>PW 55</t>
  </si>
  <si>
    <t>APS075</t>
  </si>
  <si>
    <t>PW 56</t>
  </si>
  <si>
    <t>APS076</t>
  </si>
  <si>
    <t>Bend 87.5⁰ with Door</t>
  </si>
  <si>
    <t>PW 57</t>
  </si>
  <si>
    <t>APS077</t>
  </si>
  <si>
    <t>PW 58</t>
  </si>
  <si>
    <t>APS078</t>
  </si>
  <si>
    <t>PW 59</t>
  </si>
  <si>
    <t>5712</t>
  </si>
  <si>
    <t>APS079</t>
  </si>
  <si>
    <t>PW 60</t>
  </si>
  <si>
    <t>PMN03332V</t>
  </si>
  <si>
    <t>APS080</t>
  </si>
  <si>
    <t>SWR PIPE SELF FIT TYPE "A"</t>
  </si>
  <si>
    <t>5912</t>
  </si>
  <si>
    <t>PMN033303</t>
  </si>
  <si>
    <t>5112</t>
  </si>
  <si>
    <t>PMN033304</t>
  </si>
  <si>
    <t>PW71S</t>
  </si>
  <si>
    <t>PW72S</t>
  </si>
  <si>
    <t>5612</t>
  </si>
  <si>
    <t>PMN033306</t>
  </si>
  <si>
    <t>PW73S</t>
  </si>
  <si>
    <t>PW74S</t>
  </si>
  <si>
    <t>PW75S</t>
  </si>
  <si>
    <t>PW76S</t>
  </si>
  <si>
    <t>Bend 87.5⁰ with RH Door</t>
  </si>
  <si>
    <t>PW77S</t>
  </si>
  <si>
    <t>PW78S</t>
  </si>
  <si>
    <t>5715</t>
  </si>
  <si>
    <t>PW79S</t>
  </si>
  <si>
    <t>PW80S</t>
  </si>
  <si>
    <t>5115</t>
  </si>
  <si>
    <t>PW91S</t>
  </si>
  <si>
    <t>PW92S</t>
  </si>
  <si>
    <t>Repair Coupler</t>
  </si>
  <si>
    <t>PW93S</t>
  </si>
  <si>
    <t>PW94S</t>
  </si>
  <si>
    <t>PW95S</t>
  </si>
  <si>
    <t>5722</t>
  </si>
  <si>
    <t>PW96S</t>
  </si>
  <si>
    <t>PW97S</t>
  </si>
  <si>
    <t>5922</t>
  </si>
  <si>
    <t>PW98S</t>
  </si>
  <si>
    <t>PW99S</t>
  </si>
  <si>
    <t>PW100S</t>
  </si>
  <si>
    <t>5122</t>
  </si>
  <si>
    <t>PW11S</t>
  </si>
  <si>
    <t>5622</t>
  </si>
  <si>
    <t>PW12S</t>
  </si>
  <si>
    <t>PW13S</t>
  </si>
  <si>
    <t>PW14S</t>
  </si>
  <si>
    <t>PW15S</t>
  </si>
  <si>
    <t>Cross Tee with Door</t>
  </si>
  <si>
    <t>PW16S</t>
  </si>
  <si>
    <t>PW17S</t>
  </si>
  <si>
    <t>5732</t>
  </si>
  <si>
    <t>PW18S</t>
  </si>
  <si>
    <t>PT01112V</t>
  </si>
  <si>
    <t>PW19S</t>
  </si>
  <si>
    <t>PW20S</t>
  </si>
  <si>
    <t>5132</t>
  </si>
  <si>
    <t>PW61S</t>
  </si>
  <si>
    <t>PW62S</t>
  </si>
  <si>
    <t>PW63S</t>
  </si>
  <si>
    <t>Single Tee with Door</t>
  </si>
  <si>
    <t>PW64S</t>
  </si>
  <si>
    <t>PW65S</t>
  </si>
  <si>
    <t>5734</t>
  </si>
  <si>
    <t>PMNN03432V</t>
  </si>
  <si>
    <t>PW66S</t>
  </si>
  <si>
    <t>5934</t>
  </si>
  <si>
    <t>PW67S</t>
  </si>
  <si>
    <t>PMN034303</t>
  </si>
  <si>
    <t>PW68S</t>
  </si>
  <si>
    <t>PW69S</t>
  </si>
  <si>
    <t>5134</t>
  </si>
  <si>
    <t>PW70S</t>
  </si>
  <si>
    <t>PMN034204</t>
  </si>
  <si>
    <t>5634</t>
  </si>
  <si>
    <t>SWR PIPE SELF FIT TYPE "B"</t>
  </si>
  <si>
    <t>PMN034306</t>
  </si>
  <si>
    <t>PW31S</t>
  </si>
  <si>
    <t>PW32S</t>
  </si>
  <si>
    <t>Bend 87.5⁰</t>
  </si>
  <si>
    <t>PW33S</t>
  </si>
  <si>
    <t>PW34S</t>
  </si>
  <si>
    <t>5711</t>
  </si>
  <si>
    <t>PW35S</t>
  </si>
  <si>
    <t>PMN03322V</t>
  </si>
  <si>
    <t>PW36S</t>
  </si>
  <si>
    <t>5911</t>
  </si>
  <si>
    <t>PW37S</t>
  </si>
  <si>
    <t>PMN033203</t>
  </si>
  <si>
    <t>PW38S</t>
  </si>
  <si>
    <t>PW39S</t>
  </si>
  <si>
    <t>5111</t>
  </si>
  <si>
    <t>PW40S</t>
  </si>
  <si>
    <t>PMN033204</t>
  </si>
  <si>
    <t>PW81S</t>
  </si>
  <si>
    <t>5611</t>
  </si>
  <si>
    <t>PPMN033206</t>
  </si>
  <si>
    <t>PW82S</t>
  </si>
  <si>
    <t>PW83S</t>
  </si>
  <si>
    <t>PW84S</t>
  </si>
  <si>
    <t>PW85S</t>
  </si>
  <si>
    <t>PW86S</t>
  </si>
  <si>
    <t>Bend 87.5⁰ with LH Door</t>
  </si>
  <si>
    <t>PW87S</t>
  </si>
  <si>
    <t>PW88S</t>
  </si>
  <si>
    <t>PW89S</t>
  </si>
  <si>
    <t>PW90S</t>
  </si>
  <si>
    <t>PW21S</t>
  </si>
  <si>
    <t>5714</t>
  </si>
  <si>
    <t>PW22S</t>
  </si>
  <si>
    <t>5114</t>
  </si>
  <si>
    <t>MRP (Per Mtr)</t>
  </si>
  <si>
    <t>PW23S</t>
  </si>
  <si>
    <t>PW24S</t>
  </si>
  <si>
    <t>Coupler</t>
  </si>
  <si>
    <t>PW25S</t>
  </si>
  <si>
    <t>PW26S</t>
  </si>
  <si>
    <t>5721</t>
  </si>
  <si>
    <t>PW27S</t>
  </si>
  <si>
    <t>PMN03312V</t>
  </si>
  <si>
    <t>PW28S</t>
  </si>
  <si>
    <t>PW29S</t>
  </si>
  <si>
    <t>CASING PIPE (3 MTR)</t>
  </si>
  <si>
    <t>5921</t>
  </si>
  <si>
    <t>PMN033103</t>
  </si>
  <si>
    <t>PW30S</t>
  </si>
  <si>
    <t>5121</t>
  </si>
  <si>
    <t>PW51S</t>
  </si>
  <si>
    <t>Ribbed Medium Well Screen (RMS)</t>
  </si>
  <si>
    <t>PMN033104</t>
  </si>
  <si>
    <t>PW52S</t>
  </si>
  <si>
    <t>5621</t>
  </si>
  <si>
    <t>PW53S</t>
  </si>
  <si>
    <t>PMN033106</t>
  </si>
  <si>
    <t>PW54S</t>
  </si>
  <si>
    <t>Socket Plug</t>
  </si>
  <si>
    <t>PW55S</t>
  </si>
  <si>
    <t>PMR-1</t>
  </si>
  <si>
    <t>5706</t>
  </si>
  <si>
    <t>PW56S</t>
  </si>
  <si>
    <t>PW57S</t>
  </si>
  <si>
    <t>5106</t>
  </si>
  <si>
    <t>5606</t>
  </si>
  <si>
    <t>PW58S</t>
  </si>
  <si>
    <t>PW59S</t>
  </si>
  <si>
    <t>PW60S</t>
  </si>
  <si>
    <t>5731</t>
  </si>
  <si>
    <t>PT01102V</t>
  </si>
  <si>
    <t>5131</t>
  </si>
  <si>
    <t>PM03920404</t>
  </si>
  <si>
    <t>Single Tee</t>
  </si>
  <si>
    <t>5733</t>
  </si>
  <si>
    <t>PMNN03422V</t>
  </si>
  <si>
    <t>5933</t>
  </si>
  <si>
    <t>PMN034203</t>
  </si>
  <si>
    <t>APK001</t>
  </si>
  <si>
    <t>5133</t>
  </si>
  <si>
    <t>PMNN034304</t>
  </si>
  <si>
    <t>PMR-2</t>
  </si>
  <si>
    <t>5633</t>
  </si>
  <si>
    <t>PMN034206</t>
  </si>
  <si>
    <t>APK002</t>
  </si>
  <si>
    <t>Reducing Tee</t>
  </si>
  <si>
    <t>PMR-3</t>
  </si>
  <si>
    <t>2 1⁄2 x 4</t>
  </si>
  <si>
    <t>5151</t>
  </si>
  <si>
    <t>PMN0345042V</t>
  </si>
  <si>
    <t>APK003</t>
  </si>
  <si>
    <t>5951</t>
  </si>
  <si>
    <t>4 x 6</t>
  </si>
  <si>
    <t>PMR-4</t>
  </si>
  <si>
    <t>110 x 160</t>
  </si>
  <si>
    <t>5651</t>
  </si>
  <si>
    <t>PMN03450604</t>
  </si>
  <si>
    <t>APK004</t>
  </si>
  <si>
    <t>6 x 2 1⁄2</t>
  </si>
  <si>
    <t>5751</t>
  </si>
  <si>
    <t>PMR-5</t>
  </si>
  <si>
    <t>Reducing Tee with Door</t>
  </si>
  <si>
    <t>5152</t>
  </si>
  <si>
    <t>PMN036042V</t>
  </si>
  <si>
    <t>5952</t>
  </si>
  <si>
    <t>5652</t>
  </si>
  <si>
    <t>APK005</t>
  </si>
  <si>
    <t>PMN03360604</t>
  </si>
  <si>
    <t>5752</t>
  </si>
  <si>
    <t>PMR-6</t>
  </si>
  <si>
    <t>Single Y with Door</t>
  </si>
  <si>
    <t>APK006</t>
  </si>
  <si>
    <t>5742</t>
  </si>
  <si>
    <t>PMN03382V</t>
  </si>
  <si>
    <t>PMR-7</t>
  </si>
  <si>
    <t>5942</t>
  </si>
  <si>
    <t>APK007</t>
  </si>
  <si>
    <t>5142</t>
  </si>
  <si>
    <t>PMNN033804</t>
  </si>
  <si>
    <t>PMR-8</t>
  </si>
  <si>
    <t>APK008</t>
  </si>
  <si>
    <t>PMR-9</t>
  </si>
  <si>
    <t>APK009</t>
  </si>
  <si>
    <t>5642</t>
  </si>
  <si>
    <t>PMN033806</t>
  </si>
  <si>
    <t>Medium Well Casing (CM)</t>
  </si>
  <si>
    <t>Reverse Y with Door</t>
  </si>
  <si>
    <t>5746</t>
  </si>
  <si>
    <t>5146</t>
  </si>
  <si>
    <t>Reducer Y with Door</t>
  </si>
  <si>
    <t>5156</t>
  </si>
  <si>
    <t>PMC-1</t>
  </si>
  <si>
    <t>PM0350042V</t>
  </si>
  <si>
    <t>Double Y with Door</t>
  </si>
  <si>
    <t>5745</t>
  </si>
  <si>
    <t>5145</t>
  </si>
  <si>
    <t>APK010</t>
  </si>
  <si>
    <t>Cleaning Pipe</t>
  </si>
  <si>
    <t>PMC-2</t>
  </si>
  <si>
    <t>5758</t>
  </si>
  <si>
    <t>APK011</t>
  </si>
  <si>
    <t>PMN03492V</t>
  </si>
  <si>
    <t>5158</t>
  </si>
  <si>
    <t>PMNN034904</t>
  </si>
  <si>
    <t>PMC-3</t>
  </si>
  <si>
    <t>Single Y</t>
  </si>
  <si>
    <t>APK012</t>
  </si>
  <si>
    <t>5741</t>
  </si>
  <si>
    <t>PMN03372V</t>
  </si>
  <si>
    <t>PMC-4</t>
  </si>
  <si>
    <t>5941</t>
  </si>
  <si>
    <t>APK013</t>
  </si>
  <si>
    <t>PT011503</t>
  </si>
  <si>
    <t>5141</t>
  </si>
  <si>
    <t>PMN033704</t>
  </si>
  <si>
    <t>PMC-5</t>
  </si>
  <si>
    <t>5641</t>
  </si>
  <si>
    <t>PMN033706</t>
  </si>
  <si>
    <t>APK014</t>
  </si>
  <si>
    <t>Reverse Y 45⁰</t>
  </si>
  <si>
    <t>PMC-6</t>
  </si>
  <si>
    <t>5743</t>
  </si>
  <si>
    <t>APK015</t>
  </si>
  <si>
    <t>PMC-7</t>
  </si>
  <si>
    <t>5143</t>
  </si>
  <si>
    <t>APK016</t>
  </si>
  <si>
    <t>PMC-8</t>
  </si>
  <si>
    <t>Reducer Y</t>
  </si>
  <si>
    <t>APK017</t>
  </si>
  <si>
    <t>5155</t>
  </si>
  <si>
    <t>PMN0348042V</t>
  </si>
  <si>
    <t>PMC-9</t>
  </si>
  <si>
    <t>APK018</t>
  </si>
  <si>
    <t>Double Y</t>
  </si>
  <si>
    <t>5744</t>
  </si>
  <si>
    <t>PT01202V</t>
  </si>
  <si>
    <t>5144</t>
  </si>
  <si>
    <t>PT012004</t>
  </si>
  <si>
    <t>Reducer Coupler</t>
  </si>
  <si>
    <t>5157</t>
  </si>
  <si>
    <t>PMN0335042V</t>
  </si>
  <si>
    <t>3 x 4</t>
  </si>
  <si>
    <t>90 x 100</t>
  </si>
  <si>
    <t>5957</t>
  </si>
  <si>
    <t>5657</t>
  </si>
  <si>
    <t>PMN03350604</t>
  </si>
  <si>
    <t>Vent Cowl</t>
  </si>
  <si>
    <t>-</t>
  </si>
  <si>
    <t>4761</t>
  </si>
  <si>
    <t>PMN31402</t>
  </si>
  <si>
    <t>5761</t>
  </si>
  <si>
    <t>PMN03142V</t>
  </si>
  <si>
    <t>5961</t>
  </si>
  <si>
    <t>PMN31403</t>
  </si>
  <si>
    <t>5161</t>
  </si>
  <si>
    <t>PMN31404</t>
  </si>
  <si>
    <t>5661</t>
  </si>
  <si>
    <t>PMN031406</t>
  </si>
  <si>
    <t>Pipe Clip</t>
  </si>
  <si>
    <t>5762</t>
  </si>
  <si>
    <t>PMN03122V</t>
  </si>
  <si>
    <t>5962</t>
  </si>
  <si>
    <t>PMN31303</t>
  </si>
  <si>
    <t>5162</t>
  </si>
  <si>
    <t>PMN31304</t>
  </si>
  <si>
    <t>5662</t>
  </si>
  <si>
    <t>Q Trap</t>
  </si>
  <si>
    <t>4 x 4 1⁄2</t>
  </si>
  <si>
    <t>110 x 125</t>
  </si>
  <si>
    <t>5772</t>
  </si>
  <si>
    <t>PM03184V04</t>
  </si>
  <si>
    <t>4 x 4</t>
  </si>
  <si>
    <t>110 x 110</t>
  </si>
  <si>
    <t>5172</t>
  </si>
  <si>
    <t>PMN03180404</t>
  </si>
  <si>
    <t>Nahani Trap &amp; Jali</t>
  </si>
  <si>
    <t>5763</t>
  </si>
  <si>
    <t>PM0389042V</t>
  </si>
  <si>
    <t>5963</t>
  </si>
  <si>
    <t>PM03890403</t>
  </si>
  <si>
    <t>5163</t>
  </si>
  <si>
    <t>PM03890404</t>
  </si>
  <si>
    <t>4763</t>
  </si>
  <si>
    <t>PM03890402</t>
  </si>
  <si>
    <t>Nahani Trap without Jali</t>
  </si>
  <si>
    <t>5763-W</t>
  </si>
  <si>
    <t>PMN0320042V</t>
  </si>
  <si>
    <t>5963-W</t>
  </si>
  <si>
    <t>PMN03200403</t>
  </si>
  <si>
    <t>5163-W</t>
  </si>
  <si>
    <t>PMN03200404</t>
  </si>
  <si>
    <t>4763-W</t>
  </si>
  <si>
    <t>PMN03200402</t>
  </si>
  <si>
    <t>Door Cap</t>
  </si>
  <si>
    <t>5764</t>
  </si>
  <si>
    <t>PM03412V</t>
  </si>
  <si>
    <t>5964</t>
  </si>
  <si>
    <t>PM034103</t>
  </si>
  <si>
    <t>5164</t>
  </si>
  <si>
    <t>PM034104</t>
  </si>
  <si>
    <t>5664</t>
  </si>
  <si>
    <t>Floor Trap</t>
  </si>
  <si>
    <t>5791</t>
  </si>
  <si>
    <t>Multi Floor Trap</t>
  </si>
  <si>
    <t>110 x 75 x 50 x 50 x 50</t>
  </si>
  <si>
    <t>5792</t>
  </si>
  <si>
    <t>Multi Floor Trap with Jali</t>
  </si>
  <si>
    <t>5793</t>
  </si>
  <si>
    <t>PMN032404</t>
  </si>
  <si>
    <t>Yellow Seal 'O' Ring</t>
  </si>
  <si>
    <t>5102</t>
  </si>
  <si>
    <t>PM03462V</t>
  </si>
  <si>
    <t>5103</t>
  </si>
  <si>
    <t>PM034603</t>
  </si>
  <si>
    <t>5104</t>
  </si>
  <si>
    <t>PM034604</t>
  </si>
  <si>
    <t>5105</t>
  </si>
  <si>
    <t>P Trap</t>
  </si>
  <si>
    <t>5771</t>
  </si>
  <si>
    <t>PMN03174V04</t>
  </si>
  <si>
    <t>5171</t>
  </si>
  <si>
    <t>PMN03170404</t>
  </si>
  <si>
    <t>S Trap</t>
  </si>
  <si>
    <t>5773</t>
  </si>
  <si>
    <t>PMN03194V04</t>
  </si>
  <si>
    <t>5173</t>
  </si>
  <si>
    <t>PMN03190404</t>
  </si>
  <si>
    <t>Round Jali</t>
  </si>
  <si>
    <t>5765</t>
  </si>
  <si>
    <t>PMN032304</t>
  </si>
  <si>
    <t>Back Flow Valve</t>
  </si>
  <si>
    <t>4507</t>
  </si>
  <si>
    <t>5707</t>
  </si>
  <si>
    <t>5907</t>
  </si>
  <si>
    <t>5107</t>
  </si>
  <si>
    <t>5607</t>
  </si>
  <si>
    <t>Rubber Lubricant</t>
  </si>
  <si>
    <t>24 Can</t>
  </si>
  <si>
    <t>100 GM</t>
  </si>
  <si>
    <t>RL-2</t>
  </si>
  <si>
    <t>20 Can</t>
  </si>
  <si>
    <t>250 GM</t>
  </si>
  <si>
    <t>RL-3</t>
  </si>
  <si>
    <t>500 GM</t>
  </si>
  <si>
    <t>RL-4</t>
  </si>
  <si>
    <t>SWR FITTINGS SELF FIT</t>
  </si>
  <si>
    <t>5710S</t>
  </si>
  <si>
    <t>PMN03652V</t>
  </si>
  <si>
    <t>5910S</t>
  </si>
  <si>
    <t>PMN036503</t>
  </si>
  <si>
    <t>5110S</t>
  </si>
  <si>
    <t>PMNN036504</t>
  </si>
  <si>
    <t>5610S</t>
  </si>
  <si>
    <t>PMN036506</t>
  </si>
  <si>
    <t>5711S</t>
  </si>
  <si>
    <t>PMN03632V</t>
  </si>
  <si>
    <t>5911S</t>
  </si>
  <si>
    <t>PMN036303</t>
  </si>
  <si>
    <t>5111S</t>
  </si>
  <si>
    <t>PMN036304</t>
  </si>
  <si>
    <t>5611S</t>
  </si>
  <si>
    <t>PMN036306</t>
  </si>
  <si>
    <t>5712S</t>
  </si>
  <si>
    <t>PMN03642V</t>
  </si>
  <si>
    <t>5912S</t>
  </si>
  <si>
    <t>PMN036403</t>
  </si>
  <si>
    <t>5112S</t>
  </si>
  <si>
    <t>PMN036404</t>
  </si>
  <si>
    <t>5612S</t>
  </si>
  <si>
    <t>PMN036406</t>
  </si>
  <si>
    <t>5721S</t>
  </si>
  <si>
    <t>PMN03612V</t>
  </si>
  <si>
    <t>5921S</t>
  </si>
  <si>
    <t>PMN036103</t>
  </si>
  <si>
    <t>5121S</t>
  </si>
  <si>
    <t>PMN036104</t>
  </si>
  <si>
    <t>5621S</t>
  </si>
  <si>
    <t>PMN036106</t>
  </si>
  <si>
    <t>5722S</t>
  </si>
  <si>
    <t>5922S</t>
  </si>
  <si>
    <t>5122S</t>
  </si>
  <si>
    <t>5622S</t>
  </si>
  <si>
    <t>5733S</t>
  </si>
  <si>
    <t>PMN03682V</t>
  </si>
  <si>
    <t>5933S</t>
  </si>
  <si>
    <t>PMN036803</t>
  </si>
  <si>
    <t>5133S</t>
  </si>
  <si>
    <t>PMN036804</t>
  </si>
  <si>
    <t>5633S</t>
  </si>
  <si>
    <t>PMN036806</t>
  </si>
  <si>
    <t>Tee with Door</t>
  </si>
  <si>
    <t>5734S</t>
  </si>
  <si>
    <t>PMN03692V</t>
  </si>
  <si>
    <t>5934S</t>
  </si>
  <si>
    <t>PMN036903</t>
  </si>
  <si>
    <t>5134S</t>
  </si>
  <si>
    <t>PMN036904</t>
  </si>
  <si>
    <t>5634S</t>
  </si>
  <si>
    <t>PMN036906</t>
  </si>
  <si>
    <t>5741S</t>
  </si>
  <si>
    <t>PMN03662V</t>
  </si>
  <si>
    <t>5941S</t>
  </si>
  <si>
    <t>PT011603</t>
  </si>
  <si>
    <t>5141S</t>
  </si>
  <si>
    <t>PMN036604</t>
  </si>
  <si>
    <t>5641S</t>
  </si>
  <si>
    <t>PMN036606</t>
  </si>
  <si>
    <t>5742S</t>
  </si>
  <si>
    <t>PMN03672V</t>
  </si>
  <si>
    <t>5942S</t>
  </si>
  <si>
    <t>PT011703</t>
  </si>
  <si>
    <t>5142S</t>
  </si>
  <si>
    <t>PMN036704</t>
  </si>
  <si>
    <t>5642S</t>
  </si>
  <si>
    <t>PMN036706</t>
  </si>
  <si>
    <t>UGD PIPE (6 MTR)</t>
  </si>
  <si>
    <t>RING FIT (SN-8)</t>
  </si>
  <si>
    <t>U-11C</t>
  </si>
  <si>
    <t>U-12C</t>
  </si>
  <si>
    <t>U-13C</t>
  </si>
  <si>
    <t>U-14C</t>
  </si>
  <si>
    <t>U-15C</t>
  </si>
  <si>
    <t>U-16C</t>
  </si>
  <si>
    <t>RING FIT (SN-4)</t>
  </si>
  <si>
    <t>U-11B</t>
  </si>
  <si>
    <t>U-12B</t>
  </si>
  <si>
    <t>U-13B</t>
  </si>
  <si>
    <t>U-14B</t>
  </si>
  <si>
    <t>SELF FIT (SN-8)</t>
  </si>
  <si>
    <t>U-11CS</t>
  </si>
  <si>
    <t>U-12CS</t>
  </si>
  <si>
    <t>U-13CS</t>
  </si>
  <si>
    <t>U-14CS</t>
  </si>
  <si>
    <t>U-15CS</t>
  </si>
  <si>
    <t>U-16CS</t>
  </si>
  <si>
    <t>SELF FIT (SN-4)</t>
  </si>
  <si>
    <t>U-11BS</t>
  </si>
  <si>
    <t>U-12BS</t>
  </si>
  <si>
    <t>U-13BS</t>
  </si>
  <si>
    <t>U-14BS</t>
  </si>
  <si>
    <t>Green Triple Layer</t>
  </si>
  <si>
    <t>3 Mtr</t>
  </si>
  <si>
    <t>PN-20 SDR-6</t>
  </si>
  <si>
    <t>P20G02</t>
  </si>
  <si>
    <t>APP001</t>
  </si>
  <si>
    <t>P20G03</t>
  </si>
  <si>
    <t>APP002</t>
  </si>
  <si>
    <t>P20G04</t>
  </si>
  <si>
    <t>APP003</t>
  </si>
  <si>
    <t>P20G05</t>
  </si>
  <si>
    <t>APP004</t>
  </si>
  <si>
    <t>P20G06</t>
  </si>
  <si>
    <t>APP005</t>
  </si>
  <si>
    <t>P20G07</t>
  </si>
  <si>
    <t>APP006</t>
  </si>
  <si>
    <t>P20G08</t>
  </si>
  <si>
    <t>APP007</t>
  </si>
  <si>
    <t>P20G09</t>
  </si>
  <si>
    <t>APP008</t>
  </si>
  <si>
    <t>P20G10</t>
  </si>
  <si>
    <t>APP009</t>
  </si>
  <si>
    <t>APP010</t>
  </si>
  <si>
    <t>PN-16 SDR-7.4</t>
  </si>
  <si>
    <t>P16G02</t>
  </si>
  <si>
    <t>APP011</t>
  </si>
  <si>
    <t>P16G03</t>
  </si>
  <si>
    <t>APP012</t>
  </si>
  <si>
    <t>P16G04</t>
  </si>
  <si>
    <t>APP013</t>
  </si>
  <si>
    <t>P16G05</t>
  </si>
  <si>
    <t>APP014</t>
  </si>
  <si>
    <t>P16G06</t>
  </si>
  <si>
    <t>APP015</t>
  </si>
  <si>
    <t>P16G07</t>
  </si>
  <si>
    <t>APP016</t>
  </si>
  <si>
    <t>P16G08</t>
  </si>
  <si>
    <t>APP017</t>
  </si>
  <si>
    <t>P16G09</t>
  </si>
  <si>
    <t>APP018</t>
  </si>
  <si>
    <t>P16G10</t>
  </si>
  <si>
    <t>APP019</t>
  </si>
  <si>
    <t>P16G11</t>
  </si>
  <si>
    <t>APP020</t>
  </si>
  <si>
    <t>PN-10 SDR-11</t>
  </si>
  <si>
    <t>P10G02</t>
  </si>
  <si>
    <t>APP021</t>
  </si>
  <si>
    <t>P10G03</t>
  </si>
  <si>
    <t>APP022</t>
  </si>
  <si>
    <t>P10G04</t>
  </si>
  <si>
    <t>APP023</t>
  </si>
  <si>
    <t>P10G05</t>
  </si>
  <si>
    <t>APP024</t>
  </si>
  <si>
    <t>P10G06</t>
  </si>
  <si>
    <t>APP025</t>
  </si>
  <si>
    <t>P10G07</t>
  </si>
  <si>
    <t>APP026</t>
  </si>
  <si>
    <t>P10G08</t>
  </si>
  <si>
    <t>APP027</t>
  </si>
  <si>
    <t>P10G09</t>
  </si>
  <si>
    <t>APP028</t>
  </si>
  <si>
    <t>P10G10</t>
  </si>
  <si>
    <t>APP029</t>
  </si>
  <si>
    <t>P10G11</t>
  </si>
  <si>
    <t>APP030</t>
  </si>
  <si>
    <t>P10G12</t>
  </si>
  <si>
    <t>APP031</t>
  </si>
  <si>
    <t>Size (inch)</t>
  </si>
  <si>
    <t>PPR FITTINGS (Green Colour)</t>
  </si>
  <si>
    <t>PG42</t>
  </si>
  <si>
    <t>PPRMB0203XX20MM</t>
  </si>
  <si>
    <t>PG43</t>
  </si>
  <si>
    <t>PPRMB0203XX25MM</t>
  </si>
  <si>
    <t>PG44</t>
  </si>
  <si>
    <t>PPRMB0203XX32MM</t>
  </si>
  <si>
    <t>40</t>
  </si>
  <si>
    <t>PG45</t>
  </si>
  <si>
    <t>PPRMB0203XX40MM</t>
  </si>
  <si>
    <t>50</t>
  </si>
  <si>
    <t>PG46</t>
  </si>
  <si>
    <t>PPRMB0203XX50MM</t>
  </si>
  <si>
    <t>63</t>
  </si>
  <si>
    <t>PG47</t>
  </si>
  <si>
    <t>75</t>
  </si>
  <si>
    <t>PG48</t>
  </si>
  <si>
    <t>90</t>
  </si>
  <si>
    <t>3</t>
  </si>
  <si>
    <t>PG49</t>
  </si>
  <si>
    <t>110</t>
  </si>
  <si>
    <t>4</t>
  </si>
  <si>
    <t>PG50</t>
  </si>
  <si>
    <t>160</t>
  </si>
  <si>
    <t>6</t>
  </si>
  <si>
    <t>PG51</t>
  </si>
  <si>
    <t>PG932</t>
  </si>
  <si>
    <t>PPRMB0204XX20MM</t>
  </si>
  <si>
    <t>PG942</t>
  </si>
  <si>
    <t>PPRMB02093220MM</t>
  </si>
  <si>
    <t>PG943</t>
  </si>
  <si>
    <t>PPRMB02093225MM</t>
  </si>
  <si>
    <t>PG952</t>
  </si>
  <si>
    <t>PG953</t>
  </si>
  <si>
    <t>PPRMB02094025MM</t>
  </si>
  <si>
    <t>PG954</t>
  </si>
  <si>
    <t>PPRMB02094032MM</t>
  </si>
  <si>
    <t>PG962</t>
  </si>
  <si>
    <t>PG963</t>
  </si>
  <si>
    <t>PPRMB02095025MM</t>
  </si>
  <si>
    <t>PG964</t>
  </si>
  <si>
    <t>PPRMB02095032MM</t>
  </si>
  <si>
    <t>PG965</t>
  </si>
  <si>
    <t>PPRMB02095040MM</t>
  </si>
  <si>
    <t>63x25</t>
  </si>
  <si>
    <t>PG973</t>
  </si>
  <si>
    <t>63x32</t>
  </si>
  <si>
    <t>PG974</t>
  </si>
  <si>
    <t>63x40</t>
  </si>
  <si>
    <t>PG975</t>
  </si>
  <si>
    <t>63x50</t>
  </si>
  <si>
    <t>PG976</t>
  </si>
  <si>
    <t>90x63</t>
  </si>
  <si>
    <t>PG997</t>
  </si>
  <si>
    <t>Male Threaded Coupler</t>
  </si>
  <si>
    <t>20x1⁄2"</t>
  </si>
  <si>
    <t>PG402</t>
  </si>
  <si>
    <t>25x1⁄2"</t>
  </si>
  <si>
    <t>PG403</t>
  </si>
  <si>
    <t>PPRMB021225MM0V</t>
  </si>
  <si>
    <t>Male Threaded Elbow 90⁰</t>
  </si>
  <si>
    <t>PG512</t>
  </si>
  <si>
    <t>PG513</t>
  </si>
  <si>
    <t>PPRMB021325MM0V</t>
  </si>
  <si>
    <t>32x1"</t>
  </si>
  <si>
    <t>PG514</t>
  </si>
  <si>
    <t>PPRMB021332MM01</t>
  </si>
  <si>
    <t>40x1"</t>
  </si>
  <si>
    <t>PG515</t>
  </si>
  <si>
    <t>Female Threaded Coupler</t>
  </si>
  <si>
    <t>PG412</t>
  </si>
  <si>
    <t>PPRMB021720MM0V</t>
  </si>
  <si>
    <t>PG413</t>
  </si>
  <si>
    <t>PPRMB021725MM0V</t>
  </si>
  <si>
    <t>PG52</t>
  </si>
  <si>
    <t>PPRMB0201XX20MM</t>
  </si>
  <si>
    <t>PG53</t>
  </si>
  <si>
    <t>PPRMB0201XX25MM</t>
  </si>
  <si>
    <t>PG54</t>
  </si>
  <si>
    <t>PPRMB0201XX32MM</t>
  </si>
  <si>
    <t>PG55</t>
  </si>
  <si>
    <t>PPRMB0201XX40MM</t>
  </si>
  <si>
    <t>PG56</t>
  </si>
  <si>
    <t>PPRMB0201XX50MM</t>
  </si>
  <si>
    <t>PG57</t>
  </si>
  <si>
    <t>PG58</t>
  </si>
  <si>
    <t>PG59</t>
  </si>
  <si>
    <t>PG60</t>
  </si>
  <si>
    <t>PG61</t>
  </si>
  <si>
    <t>Female Threaded Elbow 90⁰</t>
  </si>
  <si>
    <t>PG522</t>
  </si>
  <si>
    <t>PPRMB021620MM0V</t>
  </si>
  <si>
    <t>PG523</t>
  </si>
  <si>
    <t>PPRMB021625MM0V</t>
  </si>
  <si>
    <t>PG524</t>
  </si>
  <si>
    <t>PPRMB021632MM01</t>
  </si>
  <si>
    <t>PG525</t>
  </si>
  <si>
    <t>Equal Tee</t>
  </si>
  <si>
    <t>PG62</t>
  </si>
  <si>
    <t>PPRMB0202XX20MM</t>
  </si>
  <si>
    <t>PG63</t>
  </si>
  <si>
    <t>PPRMB0202XX25MM</t>
  </si>
  <si>
    <t>PG64</t>
  </si>
  <si>
    <t>PPRMB0202XX32MM</t>
  </si>
  <si>
    <t>PG65</t>
  </si>
  <si>
    <t>PPRMB0202XX40MM</t>
  </si>
  <si>
    <t>PG66</t>
  </si>
  <si>
    <t>PPRMB0202XX50MM</t>
  </si>
  <si>
    <t>PG67</t>
  </si>
  <si>
    <t>PG68</t>
  </si>
  <si>
    <t>PG69</t>
  </si>
  <si>
    <t>PG70</t>
  </si>
  <si>
    <t>PG71</t>
  </si>
  <si>
    <t>PG232</t>
  </si>
  <si>
    <t>PG242</t>
  </si>
  <si>
    <t>PG243</t>
  </si>
  <si>
    <t>PPRMB0211322532</t>
  </si>
  <si>
    <t>PG252</t>
  </si>
  <si>
    <t>PG253</t>
  </si>
  <si>
    <t>PPRMB0211402540</t>
  </si>
  <si>
    <t>PG254</t>
  </si>
  <si>
    <t>PPRMB0211403240</t>
  </si>
  <si>
    <t>PG262</t>
  </si>
  <si>
    <t>PG263</t>
  </si>
  <si>
    <t>PPRMB0211502550</t>
  </si>
  <si>
    <t>PG264</t>
  </si>
  <si>
    <t>PPRMB0211503250</t>
  </si>
  <si>
    <t>PG265</t>
  </si>
  <si>
    <t>PPRMB0211504050</t>
  </si>
  <si>
    <t>PG283</t>
  </si>
  <si>
    <t>PG284</t>
  </si>
  <si>
    <t>PG285</t>
  </si>
  <si>
    <t>PG286</t>
  </si>
  <si>
    <t>Female Threaded Tee</t>
  </si>
  <si>
    <t>PG322</t>
  </si>
  <si>
    <t>PG323</t>
  </si>
  <si>
    <t>PPRMB021525MM0V</t>
  </si>
  <si>
    <t>PG324</t>
  </si>
  <si>
    <t>PPRMB021532MM01</t>
  </si>
  <si>
    <t>32x1⁄2"</t>
  </si>
  <si>
    <t>PG325</t>
  </si>
  <si>
    <t>PPRMB021532MM0V</t>
  </si>
  <si>
    <t>PG326</t>
  </si>
  <si>
    <t>Male Threaded Tee</t>
  </si>
  <si>
    <t>PG302</t>
  </si>
  <si>
    <t>PG303</t>
  </si>
  <si>
    <t>PPRMB021425MM0V</t>
  </si>
  <si>
    <t>PG304</t>
  </si>
  <si>
    <t>PPRMB021432MM01</t>
  </si>
  <si>
    <t>PG305</t>
  </si>
  <si>
    <t>PPRMB021432MM0V</t>
  </si>
  <si>
    <t>PG306</t>
  </si>
  <si>
    <t>PG32</t>
  </si>
  <si>
    <t>PG33</t>
  </si>
  <si>
    <t>PPRMB0208XX25MM</t>
  </si>
  <si>
    <t>PG34</t>
  </si>
  <si>
    <t>PPRMB0208XX32MM</t>
  </si>
  <si>
    <t>PG35</t>
  </si>
  <si>
    <t>PPRMB0208XX40MM</t>
  </si>
  <si>
    <t>PG36</t>
  </si>
  <si>
    <t>PPRMB0208XX50MM</t>
  </si>
  <si>
    <t>PG37</t>
  </si>
  <si>
    <t>PG272</t>
  </si>
  <si>
    <t>PG273</t>
  </si>
  <si>
    <t>PPRMB0205XX25MM</t>
  </si>
  <si>
    <t>PG274</t>
  </si>
  <si>
    <t>PPRMB0205XX32MM</t>
  </si>
  <si>
    <t>PG275</t>
  </si>
  <si>
    <t>PPRMB0205XX40MM</t>
  </si>
  <si>
    <t>PG276</t>
  </si>
  <si>
    <t>PPRMB0205XX50MM</t>
  </si>
  <si>
    <t>PG277</t>
  </si>
  <si>
    <t>PG602</t>
  </si>
  <si>
    <t>PG603</t>
  </si>
  <si>
    <t>PPRMB0204XX25MM</t>
  </si>
  <si>
    <t>PG604</t>
  </si>
  <si>
    <t>PPRMB0204XX32MM</t>
  </si>
  <si>
    <t>PG605</t>
  </si>
  <si>
    <t>PPRMB0204XX40MM</t>
  </si>
  <si>
    <t>PG606</t>
  </si>
  <si>
    <t>PPRMB0204XX50MM</t>
  </si>
  <si>
    <t>PG607</t>
  </si>
  <si>
    <t>PG608</t>
  </si>
  <si>
    <t>PG609</t>
  </si>
  <si>
    <t>PG610</t>
  </si>
  <si>
    <t>PG611</t>
  </si>
  <si>
    <t>PG11</t>
  </si>
  <si>
    <t>PG12</t>
  </si>
  <si>
    <t>PPRMB02E7XX20MM</t>
  </si>
  <si>
    <t>Ball Valve</t>
  </si>
  <si>
    <t>PG23</t>
  </si>
  <si>
    <t>PG24</t>
  </si>
  <si>
    <t>PG25</t>
  </si>
  <si>
    <t>PG26</t>
  </si>
  <si>
    <t>Ball Valve (Metal)</t>
  </si>
  <si>
    <t>PGB24</t>
  </si>
  <si>
    <t>PGB25</t>
  </si>
  <si>
    <t>PGB26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</si>
</sst>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 mmm\,\ yyyy"/>
    <numFmt numFmtId="165" formatCode="#,##0.0"/>
    <numFmt numFmtId="166" formatCode="0.000"/>
    <numFmt numFmtId="168" formatCode="#,##0.##"/>
    <numFmt numFmtId="169" formatCode="0.0"/>
  </numFmts>
  <fonts count="2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2"/>
      <color rgb="FF98000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  <scheme val="minor"/>
    </font>
    <font>
      <b/>
      <sz val="15"/>
      <color theme="1"/>
      <name val="Georgia"/>
      <family val="1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2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4" fontId="11" fillId="2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2" fontId="12" fillId="2" borderId="5" xfId="0" applyNumberFormat="1" applyFont="1" applyFill="1" applyBorder="1" applyAlignment="1">
      <alignment horizontal="right" vertical="center"/>
    </xf>
    <xf numFmtId="4" fontId="12" fillId="2" borderId="3" xfId="0" applyNumberFormat="1" applyFont="1" applyFill="1" applyBorder="1" applyAlignment="1">
      <alignment horizontal="right" vertical="center"/>
    </xf>
    <xf numFmtId="49" fontId="5" fillId="2" borderId="3" xfId="0" applyNumberFormat="1" applyFont="1" applyFill="1" applyBorder="1" applyAlignment="1">
      <alignment vertical="center"/>
    </xf>
    <xf numFmtId="2" fontId="12" fillId="2" borderId="3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4" fontId="12" fillId="2" borderId="5" xfId="0" applyNumberFormat="1" applyFont="1" applyFill="1" applyBorder="1" applyAlignment="1">
      <alignment horizontal="right" vertical="center"/>
    </xf>
    <xf numFmtId="4" fontId="10" fillId="2" borderId="4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4" fontId="12" fillId="2" borderId="0" xfId="0" applyNumberFormat="1" applyFont="1" applyFill="1" applyAlignment="1">
      <alignment horizontal="righ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49" fontId="1" fillId="0" borderId="0" xfId="0" applyNumberFormat="1" applyFont="1"/>
    <xf numFmtId="2" fontId="1" fillId="0" borderId="0" xfId="0" applyNumberFormat="1" applyFont="1"/>
    <xf numFmtId="166" fontId="10" fillId="2" borderId="0" xfId="0" applyNumberFormat="1" applyFont="1" applyFill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0" borderId="3" xfId="0" applyFont="1" applyBorder="1" applyAlignment="1">
      <alignment horizontal="right" vertical="center"/>
    </xf>
    <xf numFmtId="0" fontId="14" fillId="0" borderId="0" xfId="0" applyFont="1"/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5" fillId="0" borderId="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2" fontId="10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10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/>
    </xf>
    <xf numFmtId="2" fontId="12" fillId="0" borderId="0" xfId="0" applyNumberFormat="1" applyFont="1" applyAlignment="1">
      <alignment horizontal="right"/>
    </xf>
    <xf numFmtId="0" fontId="8" fillId="0" borderId="7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2" borderId="9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" fontId="12" fillId="2" borderId="11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left" vertical="center"/>
    </xf>
    <xf numFmtId="2" fontId="12" fillId="2" borderId="4" xfId="0" applyNumberFormat="1" applyFont="1" applyFill="1" applyBorder="1" applyAlignment="1">
      <alignment horizontal="right" vertical="center"/>
    </xf>
    <xf numFmtId="2" fontId="10" fillId="2" borderId="0" xfId="0" applyNumberFormat="1" applyFont="1" applyFill="1" applyAlignment="1">
      <alignment horizontal="left" vertical="center"/>
    </xf>
    <xf numFmtId="0" fontId="1" fillId="0" borderId="0" xfId="0" applyFont="1"/>
    <xf numFmtId="2" fontId="10" fillId="0" borderId="0" xfId="0" applyNumberFormat="1" applyFont="1" applyAlignment="1">
      <alignment horizontal="right" vertical="center"/>
    </xf>
    <xf numFmtId="0" fontId="4" fillId="2" borderId="1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/>
    </xf>
    <xf numFmtId="1" fontId="5" fillId="2" borderId="3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1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10" fontId="12" fillId="2" borderId="3" xfId="0" applyNumberFormat="1" applyFont="1" applyFill="1" applyBorder="1" applyAlignment="1">
      <alignment vertical="center"/>
    </xf>
    <xf numFmtId="1" fontId="10" fillId="2" borderId="0" xfId="0" applyNumberFormat="1" applyFont="1" applyFill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1" fontId="10" fillId="0" borderId="7" xfId="0" applyNumberFormat="1" applyFont="1" applyBorder="1" applyAlignment="1">
      <alignment vertical="center"/>
    </xf>
    <xf numFmtId="0" fontId="6" fillId="2" borderId="11" xfId="0" applyFont="1" applyFill="1" applyBorder="1" applyAlignment="1">
      <alignment horizontal="left" vertical="center" wrapText="1"/>
    </xf>
    <xf numFmtId="0" fontId="15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2" fontId="5" fillId="2" borderId="2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horizontal="right" vertical="center"/>
    </xf>
    <xf numFmtId="2" fontId="5" fillId="0" borderId="3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left"/>
    </xf>
    <xf numFmtId="2" fontId="12" fillId="2" borderId="3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168" fontId="12" fillId="2" borderId="3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left" vertical="center"/>
    </xf>
    <xf numFmtId="3" fontId="5" fillId="2" borderId="3" xfId="0" applyNumberFormat="1" applyFont="1" applyFill="1" applyBorder="1" applyAlignment="1">
      <alignment horizontal="right" vertical="center"/>
    </xf>
    <xf numFmtId="4" fontId="5" fillId="2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center"/>
    </xf>
    <xf numFmtId="0" fontId="19" fillId="2" borderId="10" xfId="0" applyFont="1" applyFill="1" applyBorder="1" applyAlignment="1">
      <alignment horizontal="center" vertical="center"/>
    </xf>
    <xf numFmtId="2" fontId="19" fillId="2" borderId="1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vertical="center"/>
    </xf>
    <xf numFmtId="2" fontId="4" fillId="2" borderId="7" xfId="0" applyNumberFormat="1" applyFont="1" applyFill="1" applyBorder="1" applyAlignment="1">
      <alignment horizontal="right" vertical="center"/>
    </xf>
    <xf numFmtId="2" fontId="5" fillId="2" borderId="5" xfId="0" applyNumberFormat="1" applyFont="1" applyFill="1" applyBorder="1" applyAlignment="1">
      <alignment horizontal="right" vertical="center"/>
    </xf>
    <xf numFmtId="2" fontId="5" fillId="2" borderId="3" xfId="0" applyNumberFormat="1" applyFont="1" applyFill="1" applyBorder="1" applyAlignment="1">
      <alignment horizontal="right" vertical="center"/>
    </xf>
    <xf numFmtId="2" fontId="4" fillId="0" borderId="0" xfId="0" applyNumberFormat="1" applyFont="1" applyAlignment="1">
      <alignment vertical="center"/>
    </xf>
    <xf numFmtId="169" fontId="5" fillId="0" borderId="3" xfId="0" applyNumberFormat="1" applyFont="1" applyBorder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5" fillId="2" borderId="8" xfId="0" applyFont="1" applyFill="1" applyBorder="1" applyAlignment="1">
      <alignment horizontal="center" vertical="center"/>
    </xf>
    <xf numFmtId="0" fontId="3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" fontId="5" fillId="2" borderId="13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5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1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9" sqref="J19"/>
    </sheetView>
  </sheetViews>
  <sheetFormatPr defaultColWidth="12.6640625" defaultRowHeight="15.75" customHeight="1" x14ac:dyDescent="0.25"/>
  <cols>
    <col min="1" max="1" width="2.6640625" customWidth="1"/>
    <col min="5" max="5" width="14.109375" customWidth="1"/>
    <col min="6" max="6" width="14.21875" customWidth="1"/>
    <col min="7" max="7" width="14.88671875" customWidth="1"/>
  </cols>
  <sheetData>
    <row r="1" spans="1:16" ht="43.2" customHeight="1" x14ac:dyDescent="0.25">
      <c r="A1" s="1"/>
      <c r="B1" s="1"/>
      <c r="C1" s="1"/>
      <c r="D1" s="170" t="s">
        <v>0</v>
      </c>
      <c r="E1" s="171"/>
      <c r="F1" s="170" t="s">
        <v>1</v>
      </c>
      <c r="G1" s="171"/>
      <c r="H1" s="1"/>
      <c r="I1" s="1"/>
      <c r="J1" s="1"/>
      <c r="K1" s="1"/>
      <c r="L1" s="1"/>
      <c r="M1" s="1"/>
      <c r="N1" s="1"/>
      <c r="O1" s="1"/>
      <c r="P1" s="1"/>
    </row>
    <row r="2" spans="1:16" ht="31.2" x14ac:dyDescent="0.25">
      <c r="A2" s="1"/>
      <c r="B2" s="4" t="s">
        <v>2</v>
      </c>
      <c r="C2" s="4" t="s">
        <v>4</v>
      </c>
      <c r="D2" s="5" t="s">
        <v>5</v>
      </c>
      <c r="E2" s="6" t="s">
        <v>6</v>
      </c>
      <c r="F2" s="7" t="s">
        <v>5</v>
      </c>
      <c r="G2" s="8">
        <v>46235</v>
      </c>
      <c r="H2" s="1"/>
      <c r="I2" s="1"/>
      <c r="J2" s="1"/>
      <c r="K2" s="1"/>
      <c r="L2" s="1"/>
      <c r="M2" s="1"/>
      <c r="N2" s="1"/>
      <c r="O2" s="1"/>
      <c r="P2" s="1"/>
    </row>
    <row r="3" spans="1:16" ht="15.6" x14ac:dyDescent="0.25">
      <c r="A3" s="1"/>
      <c r="B3" s="10" t="s">
        <v>9</v>
      </c>
      <c r="C3" s="13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6" x14ac:dyDescent="0.25">
      <c r="A4" s="1"/>
      <c r="B4" s="20" t="s">
        <v>10</v>
      </c>
      <c r="C4" s="28">
        <v>15</v>
      </c>
      <c r="D4" s="23" t="s">
        <v>14</v>
      </c>
      <c r="E4" s="25">
        <v>237</v>
      </c>
      <c r="F4" s="23" t="s">
        <v>19</v>
      </c>
      <c r="G4" s="25">
        <v>279</v>
      </c>
      <c r="H4" s="1"/>
      <c r="I4" s="1"/>
      <c r="J4" s="1"/>
      <c r="K4" s="1"/>
      <c r="L4" s="1"/>
      <c r="M4" s="1"/>
      <c r="N4" s="1"/>
      <c r="O4" s="1"/>
      <c r="P4" s="1"/>
    </row>
    <row r="5" spans="1:16" ht="15.6" x14ac:dyDescent="0.25">
      <c r="A5" s="1"/>
      <c r="B5" s="21" t="s">
        <v>16</v>
      </c>
      <c r="C5" s="28">
        <v>20</v>
      </c>
      <c r="D5" s="23" t="s">
        <v>25</v>
      </c>
      <c r="E5" s="30">
        <v>369</v>
      </c>
      <c r="F5" s="23" t="s">
        <v>30</v>
      </c>
      <c r="G5" s="25">
        <v>393</v>
      </c>
      <c r="H5" s="1"/>
      <c r="I5" s="1"/>
      <c r="J5" s="1"/>
      <c r="K5" s="1"/>
      <c r="L5" s="1"/>
      <c r="M5" s="1"/>
      <c r="N5" s="1"/>
      <c r="O5" s="1"/>
      <c r="P5" s="1"/>
    </row>
    <row r="6" spans="1:16" ht="15.6" x14ac:dyDescent="0.25">
      <c r="A6" s="1"/>
      <c r="B6" s="21">
        <v>1</v>
      </c>
      <c r="C6" s="28">
        <v>25</v>
      </c>
      <c r="D6" s="23" t="s">
        <v>35</v>
      </c>
      <c r="E6" s="30">
        <v>597</v>
      </c>
      <c r="F6" s="23" t="s">
        <v>39</v>
      </c>
      <c r="G6" s="25">
        <v>621</v>
      </c>
      <c r="H6" s="1"/>
      <c r="I6" s="1"/>
      <c r="J6" s="1"/>
      <c r="K6" s="1"/>
      <c r="L6" s="1"/>
      <c r="M6" s="1"/>
      <c r="N6" s="1"/>
      <c r="O6" s="1"/>
      <c r="P6" s="1"/>
    </row>
    <row r="7" spans="1:16" ht="15.6" x14ac:dyDescent="0.25">
      <c r="A7" s="1"/>
      <c r="B7" s="21" t="s">
        <v>27</v>
      </c>
      <c r="C7" s="28">
        <v>32</v>
      </c>
      <c r="D7" s="23" t="s">
        <v>45</v>
      </c>
      <c r="E7" s="30">
        <v>927</v>
      </c>
      <c r="F7" s="23" t="s">
        <v>49</v>
      </c>
      <c r="G7" s="25">
        <v>900</v>
      </c>
      <c r="H7" s="1"/>
      <c r="I7" s="1"/>
      <c r="J7" s="1"/>
      <c r="K7" s="1"/>
      <c r="L7" s="1"/>
      <c r="M7" s="1"/>
      <c r="N7" s="1"/>
      <c r="O7" s="1"/>
      <c r="P7" s="1"/>
    </row>
    <row r="8" spans="1:16" ht="15.6" x14ac:dyDescent="0.25">
      <c r="A8" s="1"/>
      <c r="B8" s="21" t="s">
        <v>33</v>
      </c>
      <c r="C8" s="28">
        <v>40</v>
      </c>
      <c r="D8" s="23" t="s">
        <v>52</v>
      </c>
      <c r="E8" s="30">
        <v>1287</v>
      </c>
      <c r="F8" s="23" t="s">
        <v>53</v>
      </c>
      <c r="G8" s="25">
        <v>1350</v>
      </c>
      <c r="H8" s="1"/>
      <c r="I8" s="1"/>
      <c r="J8" s="1"/>
      <c r="K8" s="1"/>
      <c r="L8" s="1"/>
      <c r="M8" s="1"/>
      <c r="N8" s="1"/>
      <c r="O8" s="1"/>
      <c r="P8" s="1"/>
    </row>
    <row r="9" spans="1:16" ht="15.6" x14ac:dyDescent="0.25">
      <c r="A9" s="1"/>
      <c r="B9" s="21">
        <v>2</v>
      </c>
      <c r="C9" s="28">
        <v>50</v>
      </c>
      <c r="D9" s="23" t="s">
        <v>57</v>
      </c>
      <c r="E9" s="30">
        <v>2196</v>
      </c>
      <c r="F9" s="23" t="s">
        <v>60</v>
      </c>
      <c r="G9" s="25">
        <v>2319</v>
      </c>
      <c r="H9" s="1"/>
      <c r="I9" s="1"/>
      <c r="J9" s="1"/>
      <c r="K9" s="1"/>
      <c r="L9" s="1"/>
      <c r="M9" s="1"/>
      <c r="N9" s="1"/>
      <c r="O9" s="1"/>
      <c r="P9" s="1"/>
    </row>
    <row r="10" spans="1:16" ht="15.6" x14ac:dyDescent="0.25">
      <c r="A10" s="1"/>
      <c r="B10" s="34"/>
      <c r="C10" s="34"/>
      <c r="D10" s="41"/>
      <c r="E10" s="42"/>
      <c r="F10" s="32"/>
      <c r="G10" s="32"/>
      <c r="H10" s="1"/>
      <c r="I10" s="1"/>
      <c r="J10" s="1"/>
      <c r="K10" s="1"/>
      <c r="L10" s="1"/>
      <c r="M10" s="1"/>
      <c r="N10" s="1"/>
      <c r="O10" s="1"/>
      <c r="P10" s="1"/>
    </row>
    <row r="11" spans="1:16" ht="15.6" x14ac:dyDescent="0.25">
      <c r="A11" s="1"/>
      <c r="B11" s="44" t="s">
        <v>8</v>
      </c>
      <c r="C11" s="39"/>
      <c r="D11" s="41"/>
      <c r="E11" s="42"/>
      <c r="F11" s="32"/>
      <c r="G11" s="32"/>
      <c r="H11" s="1"/>
      <c r="I11" s="1"/>
      <c r="J11" s="1"/>
      <c r="K11" s="1"/>
      <c r="L11" s="1"/>
      <c r="M11" s="1"/>
      <c r="N11" s="1"/>
      <c r="O11" s="1"/>
      <c r="P11" s="1"/>
    </row>
    <row r="12" spans="1:16" ht="15.6" x14ac:dyDescent="0.25">
      <c r="A12" s="1"/>
      <c r="B12" s="21" t="s">
        <v>54</v>
      </c>
      <c r="C12" s="45">
        <v>65</v>
      </c>
      <c r="D12" s="23" t="s">
        <v>75</v>
      </c>
      <c r="E12" s="25">
        <v>4480</v>
      </c>
      <c r="F12" s="23" t="s">
        <v>78</v>
      </c>
      <c r="G12" s="25">
        <v>4794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ht="15.6" x14ac:dyDescent="0.25">
      <c r="A13" s="1"/>
      <c r="B13" s="21">
        <v>3</v>
      </c>
      <c r="C13" s="45">
        <v>80</v>
      </c>
      <c r="D13" s="47" t="s">
        <v>81</v>
      </c>
      <c r="E13" s="30">
        <v>5980</v>
      </c>
      <c r="F13" s="23" t="s">
        <v>85</v>
      </c>
      <c r="G13" s="25">
        <v>6639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5.6" x14ac:dyDescent="0.25">
      <c r="A14" s="1"/>
      <c r="B14" s="21">
        <v>4</v>
      </c>
      <c r="C14" s="45">
        <v>100</v>
      </c>
      <c r="D14" s="47" t="s">
        <v>88</v>
      </c>
      <c r="E14" s="30">
        <v>8680</v>
      </c>
      <c r="F14" s="23" t="s">
        <v>89</v>
      </c>
      <c r="G14" s="25">
        <v>9855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5.6" x14ac:dyDescent="0.25">
      <c r="A15" s="1"/>
      <c r="B15" s="21">
        <v>6</v>
      </c>
      <c r="C15" s="45">
        <v>150</v>
      </c>
      <c r="D15" s="47" t="s">
        <v>92</v>
      </c>
      <c r="E15" s="30">
        <v>16800</v>
      </c>
      <c r="F15" s="23" t="s">
        <v>93</v>
      </c>
      <c r="G15" s="25">
        <v>0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15.6" x14ac:dyDescent="0.25">
      <c r="A16" s="1"/>
      <c r="B16" s="34"/>
      <c r="C16" s="34"/>
      <c r="D16" s="41"/>
      <c r="E16" s="42"/>
      <c r="F16" s="32"/>
      <c r="G16" s="32"/>
      <c r="H16" s="1"/>
      <c r="I16" s="1"/>
      <c r="J16" s="1"/>
      <c r="K16" s="1"/>
      <c r="L16" s="1"/>
      <c r="M16" s="1"/>
      <c r="N16" s="1"/>
      <c r="O16" s="1"/>
      <c r="P16" s="1"/>
    </row>
    <row r="17" spans="1:16" ht="15.6" x14ac:dyDescent="0.25">
      <c r="A17" s="1"/>
      <c r="B17" s="44" t="s">
        <v>98</v>
      </c>
      <c r="C17" s="39"/>
      <c r="D17" s="41"/>
      <c r="E17" s="42"/>
      <c r="F17" s="32"/>
      <c r="G17" s="32"/>
      <c r="H17" s="1"/>
      <c r="I17" s="1"/>
      <c r="J17" s="1"/>
      <c r="K17" s="1"/>
      <c r="L17" s="1"/>
      <c r="M17" s="1"/>
      <c r="N17" s="1"/>
      <c r="O17" s="1"/>
      <c r="P17" s="1"/>
    </row>
    <row r="18" spans="1:16" ht="15.6" x14ac:dyDescent="0.25">
      <c r="A18" s="1"/>
      <c r="B18" s="21" t="s">
        <v>10</v>
      </c>
      <c r="C18" s="21">
        <v>15</v>
      </c>
      <c r="D18" s="23" t="s">
        <v>103</v>
      </c>
      <c r="E18" s="25">
        <v>395</v>
      </c>
      <c r="F18" s="23" t="s">
        <v>106</v>
      </c>
      <c r="G18" s="25">
        <v>465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5.6" x14ac:dyDescent="0.25">
      <c r="A19" s="1"/>
      <c r="B19" s="21" t="s">
        <v>16</v>
      </c>
      <c r="C19" s="21">
        <v>20</v>
      </c>
      <c r="D19" s="23" t="s">
        <v>109</v>
      </c>
      <c r="E19" s="25">
        <v>615</v>
      </c>
      <c r="F19" s="23" t="s">
        <v>112</v>
      </c>
      <c r="G19" s="25">
        <v>655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ht="15.6" x14ac:dyDescent="0.25">
      <c r="A20" s="1"/>
      <c r="B20" s="21">
        <v>1</v>
      </c>
      <c r="C20" s="21">
        <v>25</v>
      </c>
      <c r="D20" s="23" t="s">
        <v>115</v>
      </c>
      <c r="E20" s="25">
        <v>995</v>
      </c>
      <c r="F20" s="23" t="s">
        <v>116</v>
      </c>
      <c r="G20" s="25">
        <v>1035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5.6" x14ac:dyDescent="0.25">
      <c r="A21" s="1"/>
      <c r="B21" s="21" t="s">
        <v>27</v>
      </c>
      <c r="C21" s="21">
        <v>32</v>
      </c>
      <c r="D21" s="23" t="s">
        <v>119</v>
      </c>
      <c r="E21" s="25">
        <v>1545</v>
      </c>
      <c r="F21" s="23" t="s">
        <v>120</v>
      </c>
      <c r="G21" s="25">
        <v>1500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5.6" x14ac:dyDescent="0.25">
      <c r="A22" s="1"/>
      <c r="B22" s="21" t="s">
        <v>33</v>
      </c>
      <c r="C22" s="21">
        <v>40</v>
      </c>
      <c r="D22" s="23" t="s">
        <v>123</v>
      </c>
      <c r="E22" s="25">
        <v>2145</v>
      </c>
      <c r="F22" s="23" t="s">
        <v>125</v>
      </c>
      <c r="G22" s="25">
        <v>2250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5.6" x14ac:dyDescent="0.25">
      <c r="A23" s="1"/>
      <c r="B23" s="21">
        <v>2</v>
      </c>
      <c r="C23" s="21">
        <v>50</v>
      </c>
      <c r="D23" s="23" t="s">
        <v>129</v>
      </c>
      <c r="E23" s="25">
        <v>3660</v>
      </c>
      <c r="F23" s="23" t="s">
        <v>132</v>
      </c>
      <c r="G23" s="25">
        <v>3865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5.6" x14ac:dyDescent="0.25">
      <c r="A24" s="1"/>
      <c r="B24" s="34"/>
      <c r="C24" s="34"/>
      <c r="D24" s="41"/>
      <c r="E24" s="42"/>
      <c r="F24" s="32"/>
      <c r="G24" s="32"/>
      <c r="H24" s="1"/>
      <c r="I24" s="1"/>
      <c r="J24" s="1"/>
      <c r="K24" s="1"/>
      <c r="L24" s="1"/>
      <c r="M24" s="1"/>
      <c r="N24" s="1"/>
      <c r="O24" s="1"/>
      <c r="P24" s="1"/>
    </row>
    <row r="25" spans="1:16" ht="15.6" x14ac:dyDescent="0.25">
      <c r="A25" s="1"/>
      <c r="B25" s="44" t="s">
        <v>137</v>
      </c>
      <c r="C25" s="39"/>
      <c r="D25" s="41"/>
      <c r="E25" s="42"/>
      <c r="F25" s="32"/>
      <c r="G25" s="32"/>
      <c r="H25" s="1"/>
      <c r="I25" s="1"/>
      <c r="J25" s="1"/>
      <c r="K25" s="1"/>
      <c r="L25" s="1"/>
      <c r="M25" s="1"/>
      <c r="N25" s="1"/>
      <c r="O25" s="1"/>
      <c r="P25" s="1"/>
    </row>
    <row r="26" spans="1:16" ht="15.6" x14ac:dyDescent="0.25">
      <c r="A26" s="1"/>
      <c r="B26" s="21" t="s">
        <v>54</v>
      </c>
      <c r="C26" s="52">
        <v>65</v>
      </c>
      <c r="D26" s="23" t="s">
        <v>139</v>
      </c>
      <c r="E26" s="25">
        <v>7466.67</v>
      </c>
      <c r="F26" s="23" t="s">
        <v>141</v>
      </c>
      <c r="G26" s="25">
        <v>7990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5.6" x14ac:dyDescent="0.25">
      <c r="A27" s="1"/>
      <c r="B27" s="21">
        <v>3</v>
      </c>
      <c r="C27" s="52">
        <v>80</v>
      </c>
      <c r="D27" s="23" t="s">
        <v>142</v>
      </c>
      <c r="E27" s="25">
        <v>9966.67</v>
      </c>
      <c r="F27" s="23" t="s">
        <v>143</v>
      </c>
      <c r="G27" s="25">
        <v>11065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5.6" x14ac:dyDescent="0.25">
      <c r="A28" s="1"/>
      <c r="B28" s="21">
        <v>4</v>
      </c>
      <c r="C28" s="52">
        <v>100</v>
      </c>
      <c r="D28" s="23" t="s">
        <v>147</v>
      </c>
      <c r="E28" s="25">
        <v>14466.67</v>
      </c>
      <c r="F28" s="23" t="s">
        <v>149</v>
      </c>
      <c r="G28" s="25">
        <v>16425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15.6" x14ac:dyDescent="0.25">
      <c r="A29" s="1"/>
      <c r="B29" s="21">
        <v>6</v>
      </c>
      <c r="C29" s="52">
        <v>150</v>
      </c>
      <c r="D29" s="23" t="s">
        <v>151</v>
      </c>
      <c r="E29" s="25">
        <v>28000</v>
      </c>
      <c r="F29" s="23" t="s">
        <v>153</v>
      </c>
      <c r="G29" s="25">
        <v>0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ht="15.6" x14ac:dyDescent="0.25">
      <c r="A30" s="1"/>
      <c r="B30" s="34"/>
      <c r="C30" s="34"/>
      <c r="D30" s="41"/>
      <c r="E30" s="42"/>
      <c r="F30" s="32"/>
      <c r="G30" s="32"/>
      <c r="H30" s="1"/>
      <c r="I30" s="1"/>
      <c r="J30" s="1"/>
      <c r="K30" s="1"/>
      <c r="L30" s="1"/>
      <c r="M30" s="1"/>
      <c r="N30" s="1"/>
      <c r="O30" s="1"/>
      <c r="P30" s="1"/>
    </row>
    <row r="31" spans="1:16" ht="15.6" x14ac:dyDescent="0.25">
      <c r="A31" s="1"/>
      <c r="B31" s="44" t="s">
        <v>157</v>
      </c>
      <c r="C31" s="39"/>
      <c r="D31" s="41"/>
      <c r="E31" s="42"/>
      <c r="F31" s="32"/>
      <c r="G31" s="32"/>
      <c r="H31" s="1"/>
      <c r="I31" s="1"/>
      <c r="J31" s="1"/>
      <c r="K31" s="1"/>
      <c r="L31" s="1"/>
      <c r="M31" s="1"/>
      <c r="N31" s="1"/>
      <c r="O31" s="1"/>
      <c r="P31" s="1"/>
    </row>
    <row r="32" spans="1:16" ht="15.6" x14ac:dyDescent="0.25">
      <c r="A32" s="1"/>
      <c r="B32" s="20" t="s">
        <v>10</v>
      </c>
      <c r="C32" s="20">
        <v>15</v>
      </c>
      <c r="D32" s="23" t="s">
        <v>161</v>
      </c>
      <c r="E32" s="25">
        <v>219</v>
      </c>
      <c r="F32" s="23" t="s">
        <v>163</v>
      </c>
      <c r="G32" s="25">
        <v>243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5.6" x14ac:dyDescent="0.25">
      <c r="A33" s="1"/>
      <c r="B33" s="21" t="s">
        <v>16</v>
      </c>
      <c r="C33" s="28">
        <v>20</v>
      </c>
      <c r="D33" s="23" t="s">
        <v>165</v>
      </c>
      <c r="E33" s="25">
        <v>324</v>
      </c>
      <c r="F33" s="23" t="s">
        <v>167</v>
      </c>
      <c r="G33" s="25">
        <v>357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5.6" x14ac:dyDescent="0.25">
      <c r="A34" s="1"/>
      <c r="B34" s="21">
        <v>1</v>
      </c>
      <c r="C34" s="28">
        <v>25</v>
      </c>
      <c r="D34" s="23" t="s">
        <v>169</v>
      </c>
      <c r="E34" s="25">
        <v>498</v>
      </c>
      <c r="F34" s="23" t="s">
        <v>171</v>
      </c>
      <c r="G34" s="25">
        <v>564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ht="15.6" x14ac:dyDescent="0.25">
      <c r="A35" s="1"/>
      <c r="B35" s="21" t="s">
        <v>27</v>
      </c>
      <c r="C35" s="28">
        <v>32</v>
      </c>
      <c r="D35" s="23" t="s">
        <v>177</v>
      </c>
      <c r="E35" s="25">
        <v>778</v>
      </c>
      <c r="F35" s="23" t="s">
        <v>178</v>
      </c>
      <c r="G35" s="25">
        <v>837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ht="15.6" x14ac:dyDescent="0.25">
      <c r="A36" s="1"/>
      <c r="B36" s="21" t="s">
        <v>33</v>
      </c>
      <c r="C36" s="28">
        <v>40</v>
      </c>
      <c r="D36" s="23" t="s">
        <v>182</v>
      </c>
      <c r="E36" s="25">
        <v>1092</v>
      </c>
      <c r="F36" s="23" t="s">
        <v>184</v>
      </c>
      <c r="G36" s="25">
        <v>1170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15.6" x14ac:dyDescent="0.25">
      <c r="A37" s="1"/>
      <c r="B37" s="21">
        <v>2</v>
      </c>
      <c r="C37" s="28">
        <v>50</v>
      </c>
      <c r="D37" s="23" t="s">
        <v>186</v>
      </c>
      <c r="E37" s="25">
        <v>1842</v>
      </c>
      <c r="F37" s="23" t="s">
        <v>190</v>
      </c>
      <c r="G37" s="25">
        <v>1959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 ht="15.6" x14ac:dyDescent="0.25">
      <c r="A38" s="1"/>
      <c r="B38" s="34"/>
      <c r="C38" s="55"/>
      <c r="D38" s="41"/>
      <c r="E38" s="42"/>
      <c r="F38" s="32"/>
      <c r="G38" s="32"/>
      <c r="H38" s="1"/>
      <c r="I38" s="1"/>
      <c r="J38" s="1"/>
      <c r="K38" s="1"/>
      <c r="L38" s="1"/>
      <c r="M38" s="1"/>
      <c r="N38" s="1"/>
      <c r="O38" s="1"/>
      <c r="P38" s="1"/>
    </row>
    <row r="39" spans="1:16" ht="15.6" x14ac:dyDescent="0.25">
      <c r="A39" s="1"/>
      <c r="B39" s="44" t="s">
        <v>170</v>
      </c>
      <c r="C39" s="39"/>
      <c r="D39" s="41"/>
      <c r="E39" s="42"/>
      <c r="F39" s="32"/>
      <c r="G39" s="32"/>
      <c r="H39" s="1"/>
      <c r="I39" s="1"/>
      <c r="J39" s="1"/>
      <c r="K39" s="1"/>
      <c r="L39" s="1"/>
      <c r="M39" s="1"/>
      <c r="N39" s="1"/>
      <c r="O39" s="1"/>
      <c r="P39" s="1"/>
    </row>
    <row r="40" spans="1:16" ht="15.6" x14ac:dyDescent="0.25">
      <c r="A40" s="1"/>
      <c r="B40" s="21" t="s">
        <v>54</v>
      </c>
      <c r="C40" s="56">
        <v>65</v>
      </c>
      <c r="D40" s="23" t="s">
        <v>199</v>
      </c>
      <c r="E40" s="25">
        <v>3390</v>
      </c>
      <c r="F40" s="23" t="s">
        <v>205</v>
      </c>
      <c r="G40" s="25">
        <v>3690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5.6" x14ac:dyDescent="0.25">
      <c r="A41" s="1"/>
      <c r="B41" s="21">
        <v>3</v>
      </c>
      <c r="C41" s="45">
        <v>80</v>
      </c>
      <c r="D41" s="47" t="s">
        <v>207</v>
      </c>
      <c r="E41" s="25">
        <v>4490</v>
      </c>
      <c r="F41" s="23" t="s">
        <v>209</v>
      </c>
      <c r="G41" s="25">
        <v>4974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 ht="15.6" x14ac:dyDescent="0.25">
      <c r="A42" s="1"/>
      <c r="B42" s="21">
        <v>4</v>
      </c>
      <c r="C42" s="45">
        <v>100</v>
      </c>
      <c r="D42" s="47" t="s">
        <v>215</v>
      </c>
      <c r="E42" s="25">
        <v>6390</v>
      </c>
      <c r="F42" s="23" t="s">
        <v>216</v>
      </c>
      <c r="G42" s="25">
        <v>6954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 ht="15.6" x14ac:dyDescent="0.25">
      <c r="A43" s="1"/>
      <c r="B43" s="21">
        <v>6</v>
      </c>
      <c r="C43" s="45">
        <v>150</v>
      </c>
      <c r="D43" s="47" t="s">
        <v>218</v>
      </c>
      <c r="E43" s="25">
        <v>10990</v>
      </c>
      <c r="F43" s="23" t="s">
        <v>219</v>
      </c>
      <c r="G43" s="25">
        <v>0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ht="15.6" x14ac:dyDescent="0.25">
      <c r="A44" s="1"/>
      <c r="B44" s="34"/>
      <c r="C44" s="57"/>
      <c r="D44" s="41"/>
      <c r="E44" s="42"/>
      <c r="F44" s="32"/>
      <c r="G44" s="32"/>
      <c r="H44" s="1"/>
      <c r="I44" s="1"/>
      <c r="J44" s="1"/>
      <c r="K44" s="1"/>
      <c r="L44" s="1"/>
      <c r="M44" s="1"/>
      <c r="N44" s="1"/>
      <c r="O44" s="1"/>
      <c r="P44" s="1"/>
    </row>
    <row r="45" spans="1:16" ht="15.6" x14ac:dyDescent="0.25">
      <c r="A45" s="1"/>
      <c r="B45" s="44" t="s">
        <v>229</v>
      </c>
      <c r="C45" s="39"/>
      <c r="D45" s="41"/>
      <c r="E45" s="42"/>
      <c r="F45" s="32"/>
      <c r="G45" s="32"/>
      <c r="H45" s="1"/>
      <c r="I45" s="1"/>
      <c r="J45" s="1"/>
      <c r="K45" s="1"/>
      <c r="L45" s="1"/>
      <c r="M45" s="1"/>
      <c r="N45" s="1"/>
      <c r="O45" s="1"/>
      <c r="P45" s="1"/>
    </row>
    <row r="46" spans="1:16" ht="15.6" x14ac:dyDescent="0.25">
      <c r="A46" s="1"/>
      <c r="B46" s="20" t="s">
        <v>10</v>
      </c>
      <c r="C46" s="28">
        <v>15</v>
      </c>
      <c r="D46" s="58" t="s">
        <v>232</v>
      </c>
      <c r="E46" s="25">
        <v>365</v>
      </c>
      <c r="F46" s="23" t="s">
        <v>244</v>
      </c>
      <c r="G46" s="25">
        <v>405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 ht="15.6" x14ac:dyDescent="0.25">
      <c r="A47" s="1"/>
      <c r="B47" s="21" t="s">
        <v>16</v>
      </c>
      <c r="C47" s="28">
        <v>20</v>
      </c>
      <c r="D47" s="59" t="s">
        <v>246</v>
      </c>
      <c r="E47" s="25">
        <v>540</v>
      </c>
      <c r="F47" s="23" t="s">
        <v>251</v>
      </c>
      <c r="G47" s="25">
        <v>595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ht="15.6" x14ac:dyDescent="0.25">
      <c r="A48" s="1"/>
      <c r="B48" s="21">
        <v>1</v>
      </c>
      <c r="C48" s="28">
        <v>25</v>
      </c>
      <c r="D48" s="59" t="s">
        <v>253</v>
      </c>
      <c r="E48" s="25">
        <v>830</v>
      </c>
      <c r="F48" s="23" t="s">
        <v>257</v>
      </c>
      <c r="G48" s="25">
        <v>940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 ht="15.6" x14ac:dyDescent="0.25">
      <c r="A49" s="1"/>
      <c r="B49" s="21" t="s">
        <v>27</v>
      </c>
      <c r="C49" s="28">
        <v>32</v>
      </c>
      <c r="D49" s="59" t="s">
        <v>258</v>
      </c>
      <c r="E49" s="25">
        <v>1296.67</v>
      </c>
      <c r="F49" s="23" t="s">
        <v>259</v>
      </c>
      <c r="G49" s="25">
        <v>1395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 ht="15.6" x14ac:dyDescent="0.25">
      <c r="A50" s="1"/>
      <c r="B50" s="21" t="s">
        <v>33</v>
      </c>
      <c r="C50" s="28">
        <v>40</v>
      </c>
      <c r="D50" s="59" t="s">
        <v>262</v>
      </c>
      <c r="E50" s="25">
        <v>1820</v>
      </c>
      <c r="F50" s="23" t="s">
        <v>266</v>
      </c>
      <c r="G50" s="25">
        <v>1950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15.6" x14ac:dyDescent="0.25">
      <c r="A51" s="1"/>
      <c r="B51" s="21">
        <v>2</v>
      </c>
      <c r="C51" s="28">
        <v>50</v>
      </c>
      <c r="D51" s="59" t="s">
        <v>269</v>
      </c>
      <c r="E51" s="25">
        <v>3070</v>
      </c>
      <c r="F51" s="23" t="s">
        <v>272</v>
      </c>
      <c r="G51" s="25">
        <v>3265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 ht="15.6" x14ac:dyDescent="0.25">
      <c r="A52" s="1"/>
      <c r="B52" s="34"/>
      <c r="C52" s="57"/>
      <c r="D52" s="41"/>
      <c r="E52" s="42"/>
      <c r="F52" s="32"/>
      <c r="G52" s="32"/>
      <c r="H52" s="1"/>
      <c r="I52" s="1"/>
      <c r="J52" s="1"/>
      <c r="K52" s="1"/>
      <c r="L52" s="1"/>
      <c r="M52" s="1"/>
      <c r="N52" s="1"/>
      <c r="O52" s="1"/>
      <c r="P52" s="1"/>
    </row>
    <row r="53" spans="1:16" ht="15.6" x14ac:dyDescent="0.25">
      <c r="A53" s="1"/>
      <c r="B53" s="44" t="s">
        <v>280</v>
      </c>
      <c r="C53" s="39"/>
      <c r="D53" s="41"/>
      <c r="E53" s="42"/>
      <c r="F53" s="32"/>
      <c r="G53" s="32"/>
      <c r="H53" s="1"/>
      <c r="I53" s="1"/>
      <c r="J53" s="1"/>
      <c r="K53" s="1"/>
      <c r="L53" s="1"/>
      <c r="M53" s="1"/>
      <c r="N53" s="1"/>
      <c r="O53" s="1"/>
      <c r="P53" s="1"/>
    </row>
    <row r="54" spans="1:16" ht="15.6" x14ac:dyDescent="0.25">
      <c r="A54" s="1"/>
      <c r="B54" s="20" t="s">
        <v>54</v>
      </c>
      <c r="C54" s="56">
        <v>65</v>
      </c>
      <c r="D54" s="58" t="s">
        <v>285</v>
      </c>
      <c r="E54" s="25">
        <v>5650</v>
      </c>
      <c r="F54" s="23" t="s">
        <v>290</v>
      </c>
      <c r="G54" s="25">
        <v>6150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15.6" x14ac:dyDescent="0.25">
      <c r="A55" s="1"/>
      <c r="B55" s="20">
        <v>3</v>
      </c>
      <c r="C55" s="45">
        <v>80</v>
      </c>
      <c r="D55" s="59" t="s">
        <v>294</v>
      </c>
      <c r="E55" s="25">
        <v>7483.33</v>
      </c>
      <c r="F55" s="23" t="s">
        <v>299</v>
      </c>
      <c r="G55" s="25">
        <v>8290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5.6" x14ac:dyDescent="0.25">
      <c r="A56" s="1"/>
      <c r="B56" s="20">
        <v>4</v>
      </c>
      <c r="C56" s="45">
        <v>100</v>
      </c>
      <c r="D56" s="59" t="s">
        <v>302</v>
      </c>
      <c r="E56" s="25">
        <v>10650</v>
      </c>
      <c r="F56" s="23" t="s">
        <v>307</v>
      </c>
      <c r="G56" s="25">
        <v>11590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15.6" x14ac:dyDescent="0.25">
      <c r="A57" s="1"/>
      <c r="B57" s="20">
        <v>6</v>
      </c>
      <c r="C57" s="45">
        <v>150</v>
      </c>
      <c r="D57" s="59" t="s">
        <v>310</v>
      </c>
      <c r="E57" s="25">
        <v>18316.669999999998</v>
      </c>
      <c r="F57" s="23" t="s">
        <v>313</v>
      </c>
      <c r="G57" s="25">
        <v>0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ht="15.6" x14ac:dyDescent="0.25">
      <c r="A58" s="1"/>
      <c r="B58" s="1"/>
      <c r="C58" s="1"/>
      <c r="D58" s="43"/>
      <c r="E58" s="3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6" x14ac:dyDescent="0.25">
      <c r="A59" s="1"/>
      <c r="B59" s="1"/>
      <c r="C59" s="1"/>
      <c r="D59" s="43"/>
      <c r="E59" s="3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6" x14ac:dyDescent="0.25">
      <c r="A60" s="1"/>
      <c r="B60" s="1"/>
      <c r="C60" s="1"/>
      <c r="D60" s="43"/>
      <c r="E60" s="3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6" x14ac:dyDescent="0.25">
      <c r="A61" s="1"/>
      <c r="B61" s="1"/>
      <c r="C61" s="1"/>
      <c r="D61" s="43"/>
      <c r="E61" s="3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6" x14ac:dyDescent="0.25">
      <c r="A62" s="1"/>
      <c r="B62" s="1"/>
      <c r="C62" s="1"/>
      <c r="D62" s="43"/>
      <c r="E62" s="3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6" x14ac:dyDescent="0.25">
      <c r="A63" s="1"/>
      <c r="B63" s="1"/>
      <c r="C63" s="1"/>
      <c r="D63" s="43"/>
      <c r="E63" s="3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6" x14ac:dyDescent="0.25">
      <c r="A64" s="1"/>
      <c r="B64" s="1"/>
      <c r="C64" s="1"/>
      <c r="D64" s="43"/>
      <c r="E64" s="3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6" x14ac:dyDescent="0.25">
      <c r="A65" s="1"/>
      <c r="B65" s="1"/>
      <c r="C65" s="1"/>
      <c r="D65" s="43"/>
      <c r="E65" s="3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6" x14ac:dyDescent="0.25">
      <c r="A66" s="1"/>
      <c r="B66" s="1"/>
      <c r="C66" s="1"/>
      <c r="D66" s="43"/>
      <c r="E66" s="3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6" x14ac:dyDescent="0.25">
      <c r="A67" s="1"/>
      <c r="B67" s="1"/>
      <c r="C67" s="1"/>
      <c r="D67" s="43"/>
      <c r="E67" s="3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6" x14ac:dyDescent="0.25">
      <c r="A68" s="1"/>
      <c r="B68" s="1"/>
      <c r="C68" s="1"/>
      <c r="D68" s="43"/>
      <c r="E68" s="3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6" x14ac:dyDescent="0.25">
      <c r="A69" s="1"/>
      <c r="B69" s="1"/>
      <c r="C69" s="1"/>
      <c r="D69" s="43"/>
      <c r="E69" s="3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6" x14ac:dyDescent="0.25">
      <c r="A70" s="1"/>
      <c r="B70" s="1"/>
      <c r="C70" s="1"/>
      <c r="D70" s="43"/>
      <c r="E70" s="3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6" x14ac:dyDescent="0.25">
      <c r="A71" s="1"/>
      <c r="B71" s="1"/>
      <c r="C71" s="1"/>
      <c r="D71" s="43"/>
      <c r="E71" s="3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6" x14ac:dyDescent="0.25">
      <c r="A72" s="1"/>
      <c r="B72" s="1"/>
      <c r="C72" s="1"/>
      <c r="D72" s="43"/>
      <c r="E72" s="3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6" x14ac:dyDescent="0.25">
      <c r="A73" s="1"/>
      <c r="B73" s="1"/>
      <c r="C73" s="1"/>
      <c r="D73" s="43"/>
      <c r="E73" s="3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6" x14ac:dyDescent="0.25">
      <c r="A74" s="1"/>
      <c r="B74" s="1"/>
      <c r="C74" s="1"/>
      <c r="D74" s="43"/>
      <c r="E74" s="3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6" x14ac:dyDescent="0.25">
      <c r="A75" s="1"/>
      <c r="B75" s="1"/>
      <c r="C75" s="1"/>
      <c r="D75" s="43"/>
      <c r="E75" s="3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6" x14ac:dyDescent="0.25">
      <c r="A76" s="1"/>
      <c r="B76" s="1"/>
      <c r="C76" s="1"/>
      <c r="D76" s="43"/>
      <c r="E76" s="3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6" x14ac:dyDescent="0.25">
      <c r="A77" s="1"/>
      <c r="B77" s="1"/>
      <c r="C77" s="1"/>
      <c r="D77" s="43"/>
      <c r="E77" s="3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6" x14ac:dyDescent="0.25">
      <c r="A78" s="1"/>
      <c r="B78" s="1"/>
      <c r="C78" s="1"/>
      <c r="D78" s="43"/>
      <c r="E78" s="3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6" x14ac:dyDescent="0.25">
      <c r="A79" s="1"/>
      <c r="B79" s="1"/>
      <c r="C79" s="1"/>
      <c r="D79" s="43"/>
      <c r="E79" s="3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6" x14ac:dyDescent="0.25">
      <c r="A80" s="1"/>
      <c r="B80" s="1"/>
      <c r="C80" s="1"/>
      <c r="D80" s="43"/>
      <c r="E80" s="3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6" x14ac:dyDescent="0.25">
      <c r="A81" s="1"/>
      <c r="B81" s="1"/>
      <c r="C81" s="1"/>
      <c r="D81" s="43"/>
      <c r="E81" s="3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6" x14ac:dyDescent="0.25">
      <c r="A82" s="1"/>
      <c r="B82" s="1"/>
      <c r="C82" s="1"/>
      <c r="D82" s="43"/>
      <c r="E82" s="3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6" x14ac:dyDescent="0.25">
      <c r="A83" s="1"/>
      <c r="B83" s="1"/>
      <c r="C83" s="1"/>
      <c r="D83" s="43"/>
      <c r="E83" s="3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6" x14ac:dyDescent="0.25">
      <c r="A84" s="1"/>
      <c r="B84" s="1"/>
      <c r="C84" s="1"/>
      <c r="D84" s="43"/>
      <c r="E84" s="3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6" x14ac:dyDescent="0.25">
      <c r="A85" s="1"/>
      <c r="B85" s="1"/>
      <c r="C85" s="1"/>
      <c r="D85" s="43"/>
      <c r="E85" s="3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6" x14ac:dyDescent="0.25">
      <c r="A86" s="1"/>
      <c r="B86" s="1"/>
      <c r="C86" s="1"/>
      <c r="D86" s="43"/>
      <c r="E86" s="3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6" x14ac:dyDescent="0.25">
      <c r="A87" s="1"/>
      <c r="B87" s="1"/>
      <c r="C87" s="1"/>
      <c r="D87" s="43"/>
      <c r="E87" s="3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6" x14ac:dyDescent="0.25">
      <c r="A88" s="1"/>
      <c r="B88" s="1"/>
      <c r="C88" s="1"/>
      <c r="D88" s="43"/>
      <c r="E88" s="3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6" x14ac:dyDescent="0.25">
      <c r="A89" s="1"/>
      <c r="B89" s="1"/>
      <c r="C89" s="1"/>
      <c r="D89" s="43"/>
      <c r="E89" s="3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6" x14ac:dyDescent="0.25">
      <c r="A90" s="1"/>
      <c r="B90" s="1"/>
      <c r="C90" s="1"/>
      <c r="D90" s="43"/>
      <c r="E90" s="3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6" x14ac:dyDescent="0.25">
      <c r="A91" s="1"/>
      <c r="B91" s="1"/>
      <c r="C91" s="1"/>
      <c r="D91" s="43"/>
      <c r="E91" s="3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6" x14ac:dyDescent="0.25">
      <c r="A92" s="1"/>
      <c r="B92" s="1"/>
      <c r="C92" s="1"/>
      <c r="D92" s="43"/>
      <c r="E92" s="3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6" x14ac:dyDescent="0.25">
      <c r="A93" s="1"/>
      <c r="B93" s="1"/>
      <c r="C93" s="1"/>
      <c r="D93" s="43"/>
      <c r="E93" s="3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6" x14ac:dyDescent="0.25">
      <c r="A94" s="1"/>
      <c r="B94" s="1"/>
      <c r="C94" s="1"/>
      <c r="D94" s="43"/>
      <c r="E94" s="3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6" x14ac:dyDescent="0.25">
      <c r="A95" s="1"/>
      <c r="B95" s="1"/>
      <c r="C95" s="1"/>
      <c r="D95" s="43"/>
      <c r="E95" s="3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6" x14ac:dyDescent="0.25">
      <c r="A96" s="1"/>
      <c r="B96" s="1"/>
      <c r="C96" s="1"/>
      <c r="D96" s="43"/>
      <c r="E96" s="3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6" x14ac:dyDescent="0.25">
      <c r="A97" s="1"/>
      <c r="B97" s="1"/>
      <c r="C97" s="1"/>
      <c r="D97" s="43"/>
      <c r="E97" s="3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6" x14ac:dyDescent="0.25">
      <c r="A98" s="1"/>
      <c r="B98" s="1"/>
      <c r="C98" s="1"/>
      <c r="D98" s="43"/>
      <c r="E98" s="3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6" x14ac:dyDescent="0.25">
      <c r="A99" s="1"/>
      <c r="B99" s="1"/>
      <c r="C99" s="1"/>
      <c r="D99" s="43"/>
      <c r="E99" s="3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6" x14ac:dyDescent="0.25">
      <c r="A100" s="1"/>
      <c r="B100" s="1"/>
      <c r="C100" s="1"/>
      <c r="D100" s="43"/>
      <c r="E100" s="3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6" x14ac:dyDescent="0.25">
      <c r="A101" s="1"/>
      <c r="B101" s="1"/>
      <c r="C101" s="1"/>
      <c r="D101" s="43"/>
      <c r="E101" s="3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6" x14ac:dyDescent="0.25">
      <c r="A102" s="1"/>
      <c r="B102" s="1"/>
      <c r="C102" s="1"/>
      <c r="D102" s="43"/>
      <c r="E102" s="3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6" x14ac:dyDescent="0.25">
      <c r="A103" s="1"/>
      <c r="B103" s="1"/>
      <c r="C103" s="1"/>
      <c r="D103" s="43"/>
      <c r="E103" s="3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6" x14ac:dyDescent="0.25">
      <c r="A104" s="1"/>
      <c r="B104" s="1"/>
      <c r="C104" s="1"/>
      <c r="D104" s="43"/>
      <c r="E104" s="3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6" x14ac:dyDescent="0.25">
      <c r="A105" s="1"/>
      <c r="B105" s="1"/>
      <c r="C105" s="1"/>
      <c r="D105" s="43"/>
      <c r="E105" s="3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6" x14ac:dyDescent="0.25">
      <c r="A106" s="1"/>
      <c r="B106" s="1"/>
      <c r="C106" s="1"/>
      <c r="D106" s="43"/>
      <c r="E106" s="3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6" x14ac:dyDescent="0.25">
      <c r="A107" s="1"/>
      <c r="B107" s="1"/>
      <c r="C107" s="1"/>
      <c r="D107" s="43"/>
      <c r="E107" s="3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6" x14ac:dyDescent="0.25">
      <c r="A108" s="1"/>
      <c r="B108" s="1"/>
      <c r="C108" s="1"/>
      <c r="D108" s="43"/>
      <c r="E108" s="3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6" x14ac:dyDescent="0.25">
      <c r="A109" s="1"/>
      <c r="B109" s="1"/>
      <c r="C109" s="1"/>
      <c r="D109" s="43"/>
      <c r="E109" s="3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6" x14ac:dyDescent="0.25">
      <c r="A110" s="1"/>
      <c r="B110" s="1"/>
      <c r="C110" s="1"/>
      <c r="D110" s="43"/>
      <c r="E110" s="3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6" x14ac:dyDescent="0.25">
      <c r="A111" s="1"/>
      <c r="B111" s="1"/>
      <c r="C111" s="1"/>
      <c r="D111" s="43"/>
      <c r="E111" s="3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6" x14ac:dyDescent="0.25">
      <c r="A112" s="1"/>
      <c r="B112" s="1"/>
      <c r="C112" s="1"/>
      <c r="D112" s="43"/>
      <c r="E112" s="3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6" x14ac:dyDescent="0.25">
      <c r="A113" s="1"/>
      <c r="B113" s="1"/>
      <c r="C113" s="1"/>
      <c r="D113" s="43"/>
      <c r="E113" s="3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6" x14ac:dyDescent="0.25">
      <c r="A114" s="1"/>
      <c r="B114" s="1"/>
      <c r="C114" s="1"/>
      <c r="D114" s="43"/>
      <c r="E114" s="3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6" x14ac:dyDescent="0.25">
      <c r="A115" s="1"/>
      <c r="B115" s="1"/>
      <c r="C115" s="1"/>
      <c r="D115" s="43"/>
      <c r="E115" s="3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6" x14ac:dyDescent="0.25">
      <c r="A116" s="1"/>
      <c r="B116" s="1"/>
      <c r="C116" s="1"/>
      <c r="D116" s="43"/>
      <c r="E116" s="3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6" x14ac:dyDescent="0.25">
      <c r="A117" s="1"/>
      <c r="B117" s="1"/>
      <c r="C117" s="1"/>
      <c r="D117" s="43"/>
      <c r="E117" s="3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6" x14ac:dyDescent="0.25">
      <c r="A118" s="1"/>
      <c r="B118" s="1"/>
      <c r="C118" s="1"/>
      <c r="D118" s="43"/>
      <c r="E118" s="3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6" x14ac:dyDescent="0.25">
      <c r="A119" s="1"/>
      <c r="B119" s="1"/>
      <c r="C119" s="1"/>
      <c r="D119" s="43"/>
      <c r="E119" s="3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6" x14ac:dyDescent="0.25">
      <c r="A120" s="1"/>
      <c r="B120" s="1"/>
      <c r="C120" s="1"/>
      <c r="D120" s="43"/>
      <c r="E120" s="3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6" x14ac:dyDescent="0.25">
      <c r="A121" s="1"/>
      <c r="B121" s="1"/>
      <c r="C121" s="1"/>
      <c r="D121" s="43"/>
      <c r="E121" s="3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6" x14ac:dyDescent="0.25">
      <c r="A122" s="1"/>
      <c r="B122" s="1"/>
      <c r="C122" s="1"/>
      <c r="D122" s="43"/>
      <c r="E122" s="3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6" x14ac:dyDescent="0.25">
      <c r="A123" s="1"/>
      <c r="B123" s="1"/>
      <c r="C123" s="1"/>
      <c r="D123" s="43"/>
      <c r="E123" s="3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6" x14ac:dyDescent="0.25">
      <c r="A124" s="1"/>
      <c r="B124" s="1"/>
      <c r="C124" s="1"/>
      <c r="D124" s="43"/>
      <c r="E124" s="3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6" x14ac:dyDescent="0.25">
      <c r="A125" s="1"/>
      <c r="B125" s="1"/>
      <c r="C125" s="1"/>
      <c r="D125" s="43"/>
      <c r="E125" s="3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6" x14ac:dyDescent="0.25">
      <c r="A126" s="1"/>
      <c r="B126" s="1"/>
      <c r="C126" s="1"/>
      <c r="D126" s="43"/>
      <c r="E126" s="3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6" x14ac:dyDescent="0.25">
      <c r="A127" s="1"/>
      <c r="B127" s="1"/>
      <c r="C127" s="1"/>
      <c r="D127" s="43"/>
      <c r="E127" s="3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6" x14ac:dyDescent="0.25">
      <c r="A128" s="1"/>
      <c r="B128" s="1"/>
      <c r="C128" s="1"/>
      <c r="D128" s="43"/>
      <c r="E128" s="3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6" x14ac:dyDescent="0.25">
      <c r="A129" s="1"/>
      <c r="B129" s="1"/>
      <c r="C129" s="1"/>
      <c r="D129" s="43"/>
      <c r="E129" s="3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6" x14ac:dyDescent="0.25">
      <c r="A130" s="1"/>
      <c r="B130" s="1"/>
      <c r="C130" s="1"/>
      <c r="D130" s="43"/>
      <c r="E130" s="3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6" x14ac:dyDescent="0.25">
      <c r="A131" s="1"/>
      <c r="B131" s="1"/>
      <c r="C131" s="1"/>
      <c r="D131" s="43"/>
      <c r="E131" s="3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6" x14ac:dyDescent="0.25">
      <c r="A132" s="1"/>
      <c r="B132" s="1"/>
      <c r="C132" s="1"/>
      <c r="D132" s="43"/>
      <c r="E132" s="3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6" x14ac:dyDescent="0.25">
      <c r="A133" s="1"/>
      <c r="B133" s="1"/>
      <c r="C133" s="1"/>
      <c r="D133" s="43"/>
      <c r="E133" s="3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6" x14ac:dyDescent="0.25">
      <c r="A134" s="1"/>
      <c r="B134" s="1"/>
      <c r="C134" s="1"/>
      <c r="D134" s="43"/>
      <c r="E134" s="3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6" x14ac:dyDescent="0.25">
      <c r="A135" s="1"/>
      <c r="B135" s="1"/>
      <c r="C135" s="1"/>
      <c r="D135" s="43"/>
      <c r="E135" s="3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6" x14ac:dyDescent="0.25">
      <c r="A136" s="1"/>
      <c r="B136" s="1"/>
      <c r="C136" s="1"/>
      <c r="D136" s="43"/>
      <c r="E136" s="3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6" x14ac:dyDescent="0.25">
      <c r="A137" s="1"/>
      <c r="B137" s="1"/>
      <c r="C137" s="1"/>
      <c r="D137" s="43"/>
      <c r="E137" s="3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6" x14ac:dyDescent="0.25">
      <c r="A138" s="1"/>
      <c r="B138" s="1"/>
      <c r="C138" s="1"/>
      <c r="D138" s="43"/>
      <c r="E138" s="3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6" x14ac:dyDescent="0.25">
      <c r="A139" s="1"/>
      <c r="B139" s="1"/>
      <c r="C139" s="1"/>
      <c r="D139" s="43"/>
      <c r="E139" s="3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6" x14ac:dyDescent="0.25">
      <c r="A140" s="1"/>
      <c r="B140" s="1"/>
      <c r="C140" s="1"/>
      <c r="D140" s="43"/>
      <c r="E140" s="3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6" x14ac:dyDescent="0.25">
      <c r="A141" s="1"/>
      <c r="B141" s="1"/>
      <c r="C141" s="1"/>
      <c r="D141" s="43"/>
      <c r="E141" s="3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6" x14ac:dyDescent="0.25">
      <c r="A142" s="1"/>
      <c r="B142" s="1"/>
      <c r="C142" s="1"/>
      <c r="D142" s="43"/>
      <c r="E142" s="3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6" x14ac:dyDescent="0.25">
      <c r="A143" s="1"/>
      <c r="B143" s="1"/>
      <c r="C143" s="1"/>
      <c r="D143" s="43"/>
      <c r="E143" s="3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6" x14ac:dyDescent="0.25">
      <c r="A144" s="1"/>
      <c r="B144" s="1"/>
      <c r="C144" s="1"/>
      <c r="D144" s="43"/>
      <c r="E144" s="3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6" x14ac:dyDescent="0.25">
      <c r="A145" s="1"/>
      <c r="B145" s="1"/>
      <c r="C145" s="1"/>
      <c r="D145" s="43"/>
      <c r="E145" s="3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6" x14ac:dyDescent="0.25">
      <c r="A146" s="1"/>
      <c r="B146" s="1"/>
      <c r="C146" s="1"/>
      <c r="D146" s="43"/>
      <c r="E146" s="3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6" x14ac:dyDescent="0.25">
      <c r="A147" s="1"/>
      <c r="B147" s="1"/>
      <c r="C147" s="1"/>
      <c r="D147" s="43"/>
      <c r="E147" s="3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6" x14ac:dyDescent="0.25">
      <c r="A148" s="1"/>
      <c r="B148" s="1"/>
      <c r="C148" s="1"/>
      <c r="D148" s="43"/>
      <c r="E148" s="3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6" x14ac:dyDescent="0.25">
      <c r="A149" s="1"/>
      <c r="B149" s="1"/>
      <c r="C149" s="1"/>
      <c r="D149" s="43"/>
      <c r="E149" s="3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6" x14ac:dyDescent="0.25">
      <c r="A150" s="1"/>
      <c r="B150" s="1"/>
      <c r="C150" s="1"/>
      <c r="D150" s="43"/>
      <c r="E150" s="3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6" x14ac:dyDescent="0.25">
      <c r="A151" s="1"/>
      <c r="B151" s="1"/>
      <c r="C151" s="1"/>
      <c r="D151" s="43"/>
      <c r="E151" s="3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6" x14ac:dyDescent="0.25">
      <c r="A152" s="1"/>
      <c r="B152" s="1"/>
      <c r="C152" s="1"/>
      <c r="D152" s="43"/>
      <c r="E152" s="3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6" x14ac:dyDescent="0.25">
      <c r="A153" s="1"/>
      <c r="B153" s="1"/>
      <c r="C153" s="1"/>
      <c r="D153" s="43"/>
      <c r="E153" s="3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6" x14ac:dyDescent="0.25">
      <c r="A154" s="1"/>
      <c r="B154" s="1"/>
      <c r="C154" s="1"/>
      <c r="D154" s="43"/>
      <c r="E154" s="3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6" x14ac:dyDescent="0.25">
      <c r="A155" s="1"/>
      <c r="B155" s="1"/>
      <c r="C155" s="1"/>
      <c r="D155" s="43"/>
      <c r="E155" s="3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6" x14ac:dyDescent="0.25">
      <c r="A156" s="1"/>
      <c r="B156" s="1"/>
      <c r="C156" s="1"/>
      <c r="D156" s="43"/>
      <c r="E156" s="3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6" x14ac:dyDescent="0.25">
      <c r="A157" s="1"/>
      <c r="B157" s="1"/>
      <c r="C157" s="1"/>
      <c r="D157" s="43"/>
      <c r="E157" s="3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6" x14ac:dyDescent="0.25">
      <c r="A158" s="1"/>
      <c r="B158" s="1"/>
      <c r="C158" s="1"/>
      <c r="D158" s="43"/>
      <c r="E158" s="3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6" x14ac:dyDescent="0.25">
      <c r="A159" s="1"/>
      <c r="B159" s="1"/>
      <c r="C159" s="1"/>
      <c r="D159" s="43"/>
      <c r="E159" s="3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6" x14ac:dyDescent="0.25">
      <c r="A160" s="1"/>
      <c r="B160" s="1"/>
      <c r="C160" s="1"/>
      <c r="D160" s="43"/>
      <c r="E160" s="3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6" x14ac:dyDescent="0.25">
      <c r="A161" s="1"/>
      <c r="B161" s="1"/>
      <c r="C161" s="1"/>
      <c r="D161" s="43"/>
      <c r="E161" s="3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6" x14ac:dyDescent="0.25">
      <c r="A162" s="1"/>
      <c r="B162" s="1"/>
      <c r="C162" s="1"/>
      <c r="D162" s="43"/>
      <c r="E162" s="3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6" x14ac:dyDescent="0.25">
      <c r="A163" s="1"/>
      <c r="B163" s="1"/>
      <c r="C163" s="1"/>
      <c r="D163" s="43"/>
      <c r="E163" s="3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6" x14ac:dyDescent="0.25">
      <c r="A164" s="1"/>
      <c r="B164" s="1"/>
      <c r="C164" s="1"/>
      <c r="D164" s="43"/>
      <c r="E164" s="3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6" x14ac:dyDescent="0.25">
      <c r="A165" s="1"/>
      <c r="B165" s="1"/>
      <c r="C165" s="1"/>
      <c r="D165" s="43"/>
      <c r="E165" s="3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6" x14ac:dyDescent="0.25">
      <c r="A166" s="1"/>
      <c r="B166" s="1"/>
      <c r="C166" s="1"/>
      <c r="D166" s="43"/>
      <c r="E166" s="3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6" x14ac:dyDescent="0.25">
      <c r="A167" s="1"/>
      <c r="B167" s="1"/>
      <c r="C167" s="1"/>
      <c r="D167" s="43"/>
      <c r="E167" s="3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6" x14ac:dyDescent="0.25">
      <c r="A168" s="1"/>
      <c r="B168" s="1"/>
      <c r="C168" s="1"/>
      <c r="D168" s="43"/>
      <c r="E168" s="3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6" x14ac:dyDescent="0.25">
      <c r="A169" s="1"/>
      <c r="B169" s="1"/>
      <c r="C169" s="1"/>
      <c r="D169" s="43"/>
      <c r="E169" s="3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6" x14ac:dyDescent="0.25">
      <c r="A170" s="1"/>
      <c r="B170" s="1"/>
      <c r="C170" s="1"/>
      <c r="D170" s="43"/>
      <c r="E170" s="3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6" x14ac:dyDescent="0.25">
      <c r="A171" s="1"/>
      <c r="B171" s="1"/>
      <c r="C171" s="1"/>
      <c r="D171" s="43"/>
      <c r="E171" s="3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6" x14ac:dyDescent="0.25">
      <c r="A172" s="1"/>
      <c r="B172" s="1"/>
      <c r="C172" s="1"/>
      <c r="D172" s="43"/>
      <c r="E172" s="3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6" x14ac:dyDescent="0.25">
      <c r="A173" s="1"/>
      <c r="B173" s="1"/>
      <c r="C173" s="1"/>
      <c r="D173" s="43"/>
      <c r="E173" s="3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6" x14ac:dyDescent="0.25">
      <c r="A174" s="1"/>
      <c r="B174" s="1"/>
      <c r="C174" s="1"/>
      <c r="D174" s="43"/>
      <c r="E174" s="3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6" x14ac:dyDescent="0.25">
      <c r="A175" s="1"/>
      <c r="B175" s="1"/>
      <c r="C175" s="1"/>
      <c r="D175" s="43"/>
      <c r="E175" s="3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6" x14ac:dyDescent="0.25">
      <c r="A176" s="1"/>
      <c r="B176" s="1"/>
      <c r="C176" s="1"/>
      <c r="D176" s="43"/>
      <c r="E176" s="3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6" x14ac:dyDescent="0.25">
      <c r="A177" s="1"/>
      <c r="B177" s="1"/>
      <c r="C177" s="1"/>
      <c r="D177" s="43"/>
      <c r="E177" s="3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6" x14ac:dyDescent="0.25">
      <c r="A178" s="1"/>
      <c r="B178" s="1"/>
      <c r="C178" s="1"/>
      <c r="D178" s="43"/>
      <c r="E178" s="3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6" x14ac:dyDescent="0.25">
      <c r="A179" s="1"/>
      <c r="B179" s="1"/>
      <c r="C179" s="1"/>
      <c r="D179" s="43"/>
      <c r="E179" s="3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6" x14ac:dyDescent="0.25">
      <c r="A180" s="1"/>
      <c r="B180" s="1"/>
      <c r="C180" s="1"/>
      <c r="D180" s="43"/>
      <c r="E180" s="3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6" x14ac:dyDescent="0.25">
      <c r="A181" s="1"/>
      <c r="B181" s="1"/>
      <c r="C181" s="1"/>
      <c r="D181" s="43"/>
      <c r="E181" s="3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6" x14ac:dyDescent="0.25">
      <c r="A182" s="1"/>
      <c r="B182" s="1"/>
      <c r="C182" s="1"/>
      <c r="D182" s="43"/>
      <c r="E182" s="3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6" x14ac:dyDescent="0.25">
      <c r="A183" s="1"/>
      <c r="B183" s="1"/>
      <c r="C183" s="1"/>
      <c r="D183" s="43"/>
      <c r="E183" s="3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6" x14ac:dyDescent="0.25">
      <c r="A184" s="1"/>
      <c r="B184" s="1"/>
      <c r="C184" s="1"/>
      <c r="D184" s="43"/>
      <c r="E184" s="3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6" x14ac:dyDescent="0.25">
      <c r="A185" s="1"/>
      <c r="B185" s="1"/>
      <c r="C185" s="1"/>
      <c r="D185" s="43"/>
      <c r="E185" s="3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6" x14ac:dyDescent="0.25">
      <c r="A186" s="1"/>
      <c r="B186" s="1"/>
      <c r="C186" s="1"/>
      <c r="D186" s="43"/>
      <c r="E186" s="3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6" x14ac:dyDescent="0.25">
      <c r="A187" s="1"/>
      <c r="B187" s="1"/>
      <c r="C187" s="1"/>
      <c r="D187" s="43"/>
      <c r="E187" s="3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6" x14ac:dyDescent="0.25">
      <c r="A188" s="1"/>
      <c r="B188" s="1"/>
      <c r="C188" s="1"/>
      <c r="D188" s="43"/>
      <c r="E188" s="3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6" x14ac:dyDescent="0.25">
      <c r="A189" s="1"/>
      <c r="B189" s="1"/>
      <c r="C189" s="1"/>
      <c r="D189" s="43"/>
      <c r="E189" s="3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6" x14ac:dyDescent="0.25">
      <c r="A190" s="1"/>
      <c r="B190" s="1"/>
      <c r="C190" s="1"/>
      <c r="D190" s="43"/>
      <c r="E190" s="3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6" x14ac:dyDescent="0.25">
      <c r="A191" s="1"/>
      <c r="B191" s="1"/>
      <c r="C191" s="1"/>
      <c r="D191" s="43"/>
      <c r="E191" s="3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6" x14ac:dyDescent="0.25">
      <c r="A192" s="1"/>
      <c r="B192" s="1"/>
      <c r="C192" s="1"/>
      <c r="D192" s="43"/>
      <c r="E192" s="3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6" x14ac:dyDescent="0.25">
      <c r="A193" s="1"/>
      <c r="B193" s="1"/>
      <c r="C193" s="1"/>
      <c r="D193" s="43"/>
      <c r="E193" s="3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6" x14ac:dyDescent="0.25">
      <c r="A194" s="1"/>
      <c r="B194" s="1"/>
      <c r="C194" s="1"/>
      <c r="D194" s="43"/>
      <c r="E194" s="3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6" x14ac:dyDescent="0.25">
      <c r="A195" s="1"/>
      <c r="B195" s="1"/>
      <c r="C195" s="1"/>
      <c r="D195" s="43"/>
      <c r="E195" s="3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6" x14ac:dyDescent="0.25">
      <c r="A196" s="1"/>
      <c r="B196" s="1"/>
      <c r="C196" s="1"/>
      <c r="D196" s="43"/>
      <c r="E196" s="3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6" x14ac:dyDescent="0.25">
      <c r="A197" s="1"/>
      <c r="B197" s="1"/>
      <c r="C197" s="1"/>
      <c r="D197" s="43"/>
      <c r="E197" s="3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6" x14ac:dyDescent="0.25">
      <c r="A198" s="1"/>
      <c r="B198" s="1"/>
      <c r="C198" s="1"/>
      <c r="D198" s="43"/>
      <c r="E198" s="3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6" x14ac:dyDescent="0.25">
      <c r="A199" s="1"/>
      <c r="B199" s="1"/>
      <c r="C199" s="1"/>
      <c r="D199" s="43"/>
      <c r="E199" s="3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6" x14ac:dyDescent="0.25">
      <c r="A200" s="1"/>
      <c r="B200" s="1"/>
      <c r="C200" s="1"/>
      <c r="D200" s="43"/>
      <c r="E200" s="3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6" x14ac:dyDescent="0.25">
      <c r="A201" s="1"/>
      <c r="B201" s="1"/>
      <c r="C201" s="1"/>
      <c r="D201" s="43"/>
      <c r="E201" s="3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6" x14ac:dyDescent="0.25">
      <c r="A202" s="1"/>
      <c r="B202" s="1"/>
      <c r="C202" s="1"/>
      <c r="D202" s="43"/>
      <c r="E202" s="3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6" x14ac:dyDescent="0.25">
      <c r="A203" s="1"/>
      <c r="B203" s="1"/>
      <c r="C203" s="1"/>
      <c r="D203" s="43"/>
      <c r="E203" s="3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6" x14ac:dyDescent="0.25">
      <c r="A204" s="1"/>
      <c r="B204" s="1"/>
      <c r="C204" s="1"/>
      <c r="D204" s="43"/>
      <c r="E204" s="3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6" x14ac:dyDescent="0.25">
      <c r="A205" s="1"/>
      <c r="B205" s="1"/>
      <c r="C205" s="1"/>
      <c r="D205" s="43"/>
      <c r="E205" s="3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6" x14ac:dyDescent="0.25">
      <c r="A206" s="1"/>
      <c r="B206" s="1"/>
      <c r="C206" s="1"/>
      <c r="D206" s="43"/>
      <c r="E206" s="3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6" x14ac:dyDescent="0.25">
      <c r="A207" s="1"/>
      <c r="B207" s="1"/>
      <c r="C207" s="1"/>
      <c r="D207" s="43"/>
      <c r="E207" s="3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6" x14ac:dyDescent="0.25">
      <c r="A208" s="1"/>
      <c r="B208" s="1"/>
      <c r="C208" s="1"/>
      <c r="D208" s="43"/>
      <c r="E208" s="3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6" x14ac:dyDescent="0.25">
      <c r="A209" s="1"/>
      <c r="B209" s="1"/>
      <c r="C209" s="1"/>
      <c r="D209" s="43"/>
      <c r="E209" s="3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6" x14ac:dyDescent="0.25">
      <c r="A210" s="1"/>
      <c r="B210" s="1"/>
      <c r="C210" s="1"/>
      <c r="D210" s="43"/>
      <c r="E210" s="3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6" x14ac:dyDescent="0.25">
      <c r="A211" s="1"/>
      <c r="B211" s="1"/>
      <c r="C211" s="1"/>
      <c r="D211" s="43"/>
      <c r="E211" s="3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6" x14ac:dyDescent="0.25">
      <c r="A212" s="1"/>
      <c r="B212" s="1"/>
      <c r="C212" s="1"/>
      <c r="D212" s="43"/>
      <c r="E212" s="3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6" x14ac:dyDescent="0.25">
      <c r="A213" s="1"/>
      <c r="B213" s="1"/>
      <c r="C213" s="1"/>
      <c r="D213" s="43"/>
      <c r="E213" s="3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6" x14ac:dyDescent="0.25">
      <c r="A214" s="1"/>
      <c r="B214" s="1"/>
      <c r="C214" s="1"/>
      <c r="D214" s="43"/>
      <c r="E214" s="3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6" x14ac:dyDescent="0.25">
      <c r="A215" s="1"/>
      <c r="B215" s="1"/>
      <c r="C215" s="1"/>
      <c r="D215" s="43"/>
      <c r="E215" s="3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6" x14ac:dyDescent="0.25">
      <c r="A216" s="1"/>
      <c r="B216" s="1"/>
      <c r="C216" s="1"/>
      <c r="D216" s="43"/>
      <c r="E216" s="3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6" x14ac:dyDescent="0.25">
      <c r="A217" s="1"/>
      <c r="B217" s="1"/>
      <c r="C217" s="1"/>
      <c r="D217" s="43"/>
      <c r="E217" s="3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6" x14ac:dyDescent="0.25">
      <c r="A218" s="1"/>
      <c r="B218" s="1"/>
      <c r="C218" s="1"/>
      <c r="D218" s="43"/>
      <c r="E218" s="3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6" x14ac:dyDescent="0.25">
      <c r="A219" s="1"/>
      <c r="B219" s="1"/>
      <c r="C219" s="1"/>
      <c r="D219" s="43"/>
      <c r="E219" s="3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6" x14ac:dyDescent="0.25">
      <c r="A220" s="1"/>
      <c r="B220" s="1"/>
      <c r="C220" s="1"/>
      <c r="D220" s="43"/>
      <c r="E220" s="3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6" x14ac:dyDescent="0.25">
      <c r="A221" s="1"/>
      <c r="B221" s="1"/>
      <c r="C221" s="1"/>
      <c r="D221" s="43"/>
      <c r="E221" s="3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6" x14ac:dyDescent="0.25">
      <c r="A222" s="1"/>
      <c r="B222" s="1"/>
      <c r="C222" s="1"/>
      <c r="D222" s="43"/>
      <c r="E222" s="3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6" x14ac:dyDescent="0.25">
      <c r="A223" s="1"/>
      <c r="B223" s="1"/>
      <c r="C223" s="1"/>
      <c r="D223" s="43"/>
      <c r="E223" s="3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6" x14ac:dyDescent="0.25">
      <c r="A224" s="1"/>
      <c r="B224" s="1"/>
      <c r="C224" s="1"/>
      <c r="D224" s="43"/>
      <c r="E224" s="3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6" x14ac:dyDescent="0.25">
      <c r="A225" s="1"/>
      <c r="B225" s="1"/>
      <c r="C225" s="1"/>
      <c r="D225" s="43"/>
      <c r="E225" s="3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6" x14ac:dyDescent="0.25">
      <c r="A226" s="1"/>
      <c r="B226" s="1"/>
      <c r="C226" s="1"/>
      <c r="D226" s="43"/>
      <c r="E226" s="3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6" x14ac:dyDescent="0.25">
      <c r="A227" s="1"/>
      <c r="B227" s="1"/>
      <c r="C227" s="1"/>
      <c r="D227" s="43"/>
      <c r="E227" s="3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6" x14ac:dyDescent="0.25">
      <c r="A228" s="1"/>
      <c r="B228" s="1"/>
      <c r="C228" s="1"/>
      <c r="D228" s="43"/>
      <c r="E228" s="3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6" x14ac:dyDescent="0.25">
      <c r="A229" s="1"/>
      <c r="B229" s="1"/>
      <c r="C229" s="1"/>
      <c r="D229" s="43"/>
      <c r="E229" s="3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6" x14ac:dyDescent="0.25">
      <c r="A230" s="1"/>
      <c r="B230" s="1"/>
      <c r="C230" s="1"/>
      <c r="D230" s="43"/>
      <c r="E230" s="3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6" x14ac:dyDescent="0.25">
      <c r="A231" s="1"/>
      <c r="B231" s="1"/>
      <c r="C231" s="1"/>
      <c r="D231" s="43"/>
      <c r="E231" s="3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6" x14ac:dyDescent="0.25">
      <c r="A232" s="1"/>
      <c r="B232" s="1"/>
      <c r="C232" s="1"/>
      <c r="D232" s="43"/>
      <c r="E232" s="3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6" x14ac:dyDescent="0.25">
      <c r="A233" s="1"/>
      <c r="B233" s="1"/>
      <c r="C233" s="1"/>
      <c r="D233" s="43"/>
      <c r="E233" s="3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6" x14ac:dyDescent="0.25">
      <c r="A234" s="1"/>
      <c r="B234" s="1"/>
      <c r="C234" s="1"/>
      <c r="D234" s="43"/>
      <c r="E234" s="3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6" x14ac:dyDescent="0.25">
      <c r="A235" s="1"/>
      <c r="B235" s="1"/>
      <c r="C235" s="1"/>
      <c r="D235" s="43"/>
      <c r="E235" s="3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6" x14ac:dyDescent="0.25">
      <c r="A236" s="1"/>
      <c r="B236" s="1"/>
      <c r="C236" s="1"/>
      <c r="D236" s="43"/>
      <c r="E236" s="3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6" x14ac:dyDescent="0.25">
      <c r="A237" s="1"/>
      <c r="B237" s="1"/>
      <c r="C237" s="1"/>
      <c r="D237" s="43"/>
      <c r="E237" s="3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6" x14ac:dyDescent="0.25">
      <c r="A238" s="1"/>
      <c r="B238" s="1"/>
      <c r="C238" s="1"/>
      <c r="D238" s="43"/>
      <c r="E238" s="3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6" x14ac:dyDescent="0.25">
      <c r="A239" s="1"/>
      <c r="B239" s="1"/>
      <c r="C239" s="1"/>
      <c r="D239" s="43"/>
      <c r="E239" s="3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6" x14ac:dyDescent="0.25">
      <c r="A240" s="1"/>
      <c r="B240" s="1"/>
      <c r="C240" s="1"/>
      <c r="D240" s="43"/>
      <c r="E240" s="3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6" x14ac:dyDescent="0.25">
      <c r="A241" s="1"/>
      <c r="B241" s="1"/>
      <c r="C241" s="1"/>
      <c r="D241" s="43"/>
      <c r="E241" s="3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6" x14ac:dyDescent="0.25">
      <c r="A242" s="1"/>
      <c r="B242" s="1"/>
      <c r="C242" s="1"/>
      <c r="D242" s="43"/>
      <c r="E242" s="3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6" x14ac:dyDescent="0.25">
      <c r="A243" s="1"/>
      <c r="B243" s="1"/>
      <c r="C243" s="1"/>
      <c r="D243" s="43"/>
      <c r="E243" s="3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6" x14ac:dyDescent="0.25">
      <c r="A244" s="1"/>
      <c r="B244" s="1"/>
      <c r="C244" s="1"/>
      <c r="D244" s="43"/>
      <c r="E244" s="3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6" x14ac:dyDescent="0.25">
      <c r="A245" s="1"/>
      <c r="B245" s="1"/>
      <c r="C245" s="1"/>
      <c r="D245" s="43"/>
      <c r="E245" s="3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6" x14ac:dyDescent="0.25">
      <c r="A246" s="1"/>
      <c r="B246" s="1"/>
      <c r="C246" s="1"/>
      <c r="D246" s="43"/>
      <c r="E246" s="3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6" x14ac:dyDescent="0.25">
      <c r="A247" s="1"/>
      <c r="B247" s="1"/>
      <c r="C247" s="1"/>
      <c r="D247" s="43"/>
      <c r="E247" s="3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6" x14ac:dyDescent="0.25">
      <c r="A248" s="1"/>
      <c r="B248" s="1"/>
      <c r="C248" s="1"/>
      <c r="D248" s="43"/>
      <c r="E248" s="3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6" x14ac:dyDescent="0.25">
      <c r="A249" s="1"/>
      <c r="B249" s="1"/>
      <c r="C249" s="1"/>
      <c r="D249" s="43"/>
      <c r="E249" s="3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6" x14ac:dyDescent="0.25">
      <c r="A250" s="1"/>
      <c r="B250" s="1"/>
      <c r="C250" s="1"/>
      <c r="D250" s="43"/>
      <c r="E250" s="3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6" x14ac:dyDescent="0.25">
      <c r="A251" s="1"/>
      <c r="B251" s="1"/>
      <c r="C251" s="1"/>
      <c r="D251" s="43"/>
      <c r="E251" s="3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6" x14ac:dyDescent="0.25">
      <c r="A252" s="1"/>
      <c r="B252" s="1"/>
      <c r="C252" s="1"/>
      <c r="D252" s="43"/>
      <c r="E252" s="3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6" x14ac:dyDescent="0.25">
      <c r="A253" s="1"/>
      <c r="B253" s="1"/>
      <c r="C253" s="1"/>
      <c r="D253" s="43"/>
      <c r="E253" s="3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6" x14ac:dyDescent="0.25">
      <c r="A254" s="1"/>
      <c r="B254" s="1"/>
      <c r="C254" s="1"/>
      <c r="D254" s="43"/>
      <c r="E254" s="3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6" x14ac:dyDescent="0.25">
      <c r="A255" s="1"/>
      <c r="B255" s="1"/>
      <c r="C255" s="1"/>
      <c r="D255" s="43"/>
      <c r="E255" s="3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6" x14ac:dyDescent="0.25">
      <c r="A256" s="1"/>
      <c r="B256" s="1"/>
      <c r="C256" s="1"/>
      <c r="D256" s="43"/>
      <c r="E256" s="3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6" x14ac:dyDescent="0.25">
      <c r="A257" s="1"/>
      <c r="B257" s="1"/>
      <c r="C257" s="1"/>
      <c r="D257" s="43"/>
      <c r="E257" s="3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6" x14ac:dyDescent="0.25">
      <c r="A258" s="1"/>
      <c r="B258" s="1"/>
      <c r="C258" s="1"/>
      <c r="D258" s="43"/>
      <c r="E258" s="3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6" x14ac:dyDescent="0.25">
      <c r="A259" s="1"/>
      <c r="B259" s="1"/>
      <c r="C259" s="1"/>
      <c r="D259" s="43"/>
      <c r="E259" s="3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6" x14ac:dyDescent="0.25">
      <c r="A260" s="1"/>
      <c r="B260" s="1"/>
      <c r="C260" s="1"/>
      <c r="D260" s="43"/>
      <c r="E260" s="3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6" x14ac:dyDescent="0.25">
      <c r="A261" s="1"/>
      <c r="B261" s="1"/>
      <c r="C261" s="1"/>
      <c r="D261" s="43"/>
      <c r="E261" s="3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6" x14ac:dyDescent="0.25">
      <c r="A262" s="1"/>
      <c r="B262" s="1"/>
      <c r="C262" s="1"/>
      <c r="D262" s="43"/>
      <c r="E262" s="3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6" x14ac:dyDescent="0.25">
      <c r="A263" s="1"/>
      <c r="B263" s="1"/>
      <c r="C263" s="1"/>
      <c r="D263" s="43"/>
      <c r="E263" s="3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6" x14ac:dyDescent="0.25">
      <c r="A264" s="1"/>
      <c r="B264" s="1"/>
      <c r="C264" s="1"/>
      <c r="D264" s="43"/>
      <c r="E264" s="3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6" x14ac:dyDescent="0.25">
      <c r="A265" s="1"/>
      <c r="B265" s="1"/>
      <c r="C265" s="1"/>
      <c r="D265" s="43"/>
      <c r="E265" s="3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6" x14ac:dyDescent="0.25">
      <c r="A266" s="1"/>
      <c r="B266" s="1"/>
      <c r="C266" s="1"/>
      <c r="D266" s="43"/>
      <c r="E266" s="3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6" x14ac:dyDescent="0.25">
      <c r="A267" s="1"/>
      <c r="B267" s="1"/>
      <c r="C267" s="1"/>
      <c r="D267" s="43"/>
      <c r="E267" s="3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6" x14ac:dyDescent="0.25">
      <c r="A268" s="1"/>
      <c r="B268" s="1"/>
      <c r="C268" s="1"/>
      <c r="D268" s="43"/>
      <c r="E268" s="3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6" x14ac:dyDescent="0.25">
      <c r="A269" s="1"/>
      <c r="B269" s="1"/>
      <c r="C269" s="1"/>
      <c r="D269" s="43"/>
      <c r="E269" s="3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6" x14ac:dyDescent="0.25">
      <c r="A270" s="1"/>
      <c r="B270" s="1"/>
      <c r="C270" s="1"/>
      <c r="D270" s="43"/>
      <c r="E270" s="3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6" x14ac:dyDescent="0.25">
      <c r="A271" s="1"/>
      <c r="B271" s="1"/>
      <c r="C271" s="1"/>
      <c r="D271" s="43"/>
      <c r="E271" s="3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6" x14ac:dyDescent="0.25">
      <c r="A272" s="1"/>
      <c r="B272" s="1"/>
      <c r="C272" s="1"/>
      <c r="D272" s="43"/>
      <c r="E272" s="3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6" x14ac:dyDescent="0.25">
      <c r="A273" s="1"/>
      <c r="B273" s="1"/>
      <c r="C273" s="1"/>
      <c r="D273" s="43"/>
      <c r="E273" s="3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6" x14ac:dyDescent="0.25">
      <c r="A274" s="1"/>
      <c r="B274" s="1"/>
      <c r="C274" s="1"/>
      <c r="D274" s="43"/>
      <c r="E274" s="3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6" x14ac:dyDescent="0.25">
      <c r="A275" s="1"/>
      <c r="B275" s="1"/>
      <c r="C275" s="1"/>
      <c r="D275" s="43"/>
      <c r="E275" s="3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6" x14ac:dyDescent="0.25">
      <c r="A276" s="1"/>
      <c r="B276" s="1"/>
      <c r="C276" s="1"/>
      <c r="D276" s="43"/>
      <c r="E276" s="3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6" x14ac:dyDescent="0.25">
      <c r="A277" s="1"/>
      <c r="B277" s="1"/>
      <c r="C277" s="1"/>
      <c r="D277" s="43"/>
      <c r="E277" s="3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6" x14ac:dyDescent="0.25">
      <c r="A278" s="1"/>
      <c r="B278" s="1"/>
      <c r="C278" s="1"/>
      <c r="D278" s="43"/>
      <c r="E278" s="3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6" x14ac:dyDescent="0.25">
      <c r="A279" s="1"/>
      <c r="B279" s="1"/>
      <c r="C279" s="1"/>
      <c r="D279" s="43"/>
      <c r="E279" s="3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6" x14ac:dyDescent="0.25">
      <c r="A280" s="1"/>
      <c r="B280" s="1"/>
      <c r="C280" s="1"/>
      <c r="D280" s="43"/>
      <c r="E280" s="3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6" x14ac:dyDescent="0.25">
      <c r="A281" s="1"/>
      <c r="B281" s="1"/>
      <c r="C281" s="1"/>
      <c r="D281" s="43"/>
      <c r="E281" s="3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6" x14ac:dyDescent="0.25">
      <c r="A282" s="1"/>
      <c r="B282" s="1"/>
      <c r="C282" s="1"/>
      <c r="D282" s="43"/>
      <c r="E282" s="3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6" x14ac:dyDescent="0.25">
      <c r="A283" s="1"/>
      <c r="B283" s="1"/>
      <c r="C283" s="1"/>
      <c r="D283" s="43"/>
      <c r="E283" s="3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6" x14ac:dyDescent="0.25">
      <c r="A284" s="1"/>
      <c r="B284" s="1"/>
      <c r="C284" s="1"/>
      <c r="D284" s="43"/>
      <c r="E284" s="3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6" x14ac:dyDescent="0.25">
      <c r="A285" s="1"/>
      <c r="B285" s="1"/>
      <c r="C285" s="1"/>
      <c r="D285" s="43"/>
      <c r="E285" s="3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6" x14ac:dyDescent="0.25">
      <c r="A286" s="1"/>
      <c r="B286" s="1"/>
      <c r="C286" s="1"/>
      <c r="D286" s="43"/>
      <c r="E286" s="3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6" x14ac:dyDescent="0.25">
      <c r="A287" s="1"/>
      <c r="B287" s="1"/>
      <c r="C287" s="1"/>
      <c r="D287" s="43"/>
      <c r="E287" s="3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6" x14ac:dyDescent="0.25">
      <c r="A288" s="1"/>
      <c r="B288" s="1"/>
      <c r="C288" s="1"/>
      <c r="D288" s="43"/>
      <c r="E288" s="3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6" x14ac:dyDescent="0.25">
      <c r="A289" s="1"/>
      <c r="B289" s="1"/>
      <c r="C289" s="1"/>
      <c r="D289" s="43"/>
      <c r="E289" s="3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6" x14ac:dyDescent="0.25">
      <c r="A290" s="1"/>
      <c r="B290" s="1"/>
      <c r="C290" s="1"/>
      <c r="D290" s="43"/>
      <c r="E290" s="3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6" x14ac:dyDescent="0.25">
      <c r="A291" s="1"/>
      <c r="B291" s="1"/>
      <c r="C291" s="1"/>
      <c r="D291" s="43"/>
      <c r="E291" s="3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6" x14ac:dyDescent="0.25">
      <c r="A292" s="1"/>
      <c r="B292" s="1"/>
      <c r="C292" s="1"/>
      <c r="D292" s="43"/>
      <c r="E292" s="3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6" x14ac:dyDescent="0.25">
      <c r="A293" s="1"/>
      <c r="B293" s="1"/>
      <c r="C293" s="1"/>
      <c r="D293" s="43"/>
      <c r="E293" s="3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6" x14ac:dyDescent="0.25">
      <c r="A294" s="1"/>
      <c r="B294" s="1"/>
      <c r="C294" s="1"/>
      <c r="D294" s="43"/>
      <c r="E294" s="3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6" x14ac:dyDescent="0.25">
      <c r="A295" s="1"/>
      <c r="B295" s="1"/>
      <c r="C295" s="1"/>
      <c r="D295" s="43"/>
      <c r="E295" s="3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6" x14ac:dyDescent="0.25">
      <c r="A296" s="1"/>
      <c r="B296" s="1"/>
      <c r="C296" s="1"/>
      <c r="D296" s="43"/>
      <c r="E296" s="3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6" x14ac:dyDescent="0.25">
      <c r="A297" s="1"/>
      <c r="B297" s="1"/>
      <c r="C297" s="1"/>
      <c r="D297" s="43"/>
      <c r="E297" s="3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6" x14ac:dyDescent="0.25">
      <c r="A298" s="1"/>
      <c r="B298" s="1"/>
      <c r="C298" s="1"/>
      <c r="D298" s="43"/>
      <c r="E298" s="3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6" x14ac:dyDescent="0.25">
      <c r="A299" s="1"/>
      <c r="B299" s="1"/>
      <c r="C299" s="1"/>
      <c r="D299" s="43"/>
      <c r="E299" s="3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6" x14ac:dyDescent="0.25">
      <c r="A300" s="1"/>
      <c r="B300" s="1"/>
      <c r="C300" s="1"/>
      <c r="D300" s="43"/>
      <c r="E300" s="3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6" x14ac:dyDescent="0.25">
      <c r="A301" s="1"/>
      <c r="B301" s="1"/>
      <c r="C301" s="1"/>
      <c r="D301" s="43"/>
      <c r="E301" s="3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6" x14ac:dyDescent="0.25">
      <c r="A302" s="1"/>
      <c r="B302" s="1"/>
      <c r="C302" s="1"/>
      <c r="D302" s="43"/>
      <c r="E302" s="3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6" x14ac:dyDescent="0.25">
      <c r="A303" s="1"/>
      <c r="B303" s="1"/>
      <c r="C303" s="1"/>
      <c r="D303" s="43"/>
      <c r="E303" s="3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6" x14ac:dyDescent="0.25">
      <c r="A304" s="1"/>
      <c r="B304" s="1"/>
      <c r="C304" s="1"/>
      <c r="D304" s="43"/>
      <c r="E304" s="3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6" x14ac:dyDescent="0.25">
      <c r="A305" s="1"/>
      <c r="B305" s="1"/>
      <c r="C305" s="1"/>
      <c r="D305" s="43"/>
      <c r="E305" s="3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6" x14ac:dyDescent="0.25">
      <c r="A306" s="1"/>
      <c r="B306" s="1"/>
      <c r="C306" s="1"/>
      <c r="D306" s="43"/>
      <c r="E306" s="3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6" x14ac:dyDescent="0.25">
      <c r="A307" s="1"/>
      <c r="B307" s="1"/>
      <c r="C307" s="1"/>
      <c r="D307" s="43"/>
      <c r="E307" s="3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6" x14ac:dyDescent="0.25">
      <c r="A308" s="1"/>
      <c r="B308" s="1"/>
      <c r="C308" s="1"/>
      <c r="D308" s="43"/>
      <c r="E308" s="3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6" x14ac:dyDescent="0.25">
      <c r="A309" s="1"/>
      <c r="B309" s="1"/>
      <c r="C309" s="1"/>
      <c r="D309" s="43"/>
      <c r="E309" s="3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6" x14ac:dyDescent="0.25">
      <c r="A310" s="1"/>
      <c r="B310" s="1"/>
      <c r="C310" s="1"/>
      <c r="D310" s="43"/>
      <c r="E310" s="3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6" x14ac:dyDescent="0.25">
      <c r="A311" s="1"/>
      <c r="B311" s="1"/>
      <c r="C311" s="1"/>
      <c r="D311" s="43"/>
      <c r="E311" s="3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6" x14ac:dyDescent="0.25">
      <c r="A312" s="1"/>
      <c r="B312" s="1"/>
      <c r="C312" s="1"/>
      <c r="D312" s="43"/>
      <c r="E312" s="3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6" x14ac:dyDescent="0.25">
      <c r="A313" s="1"/>
      <c r="B313" s="1"/>
      <c r="C313" s="1"/>
      <c r="D313" s="43"/>
      <c r="E313" s="3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6" x14ac:dyDescent="0.25">
      <c r="A314" s="1"/>
      <c r="B314" s="1"/>
      <c r="C314" s="1"/>
      <c r="D314" s="43"/>
      <c r="E314" s="3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6" x14ac:dyDescent="0.25">
      <c r="A315" s="1"/>
      <c r="B315" s="1"/>
      <c r="C315" s="1"/>
      <c r="D315" s="43"/>
      <c r="E315" s="3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6" x14ac:dyDescent="0.25">
      <c r="A316" s="1"/>
      <c r="B316" s="1"/>
      <c r="C316" s="1"/>
      <c r="D316" s="43"/>
      <c r="E316" s="3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6" x14ac:dyDescent="0.25">
      <c r="A317" s="1"/>
      <c r="B317" s="1"/>
      <c r="C317" s="1"/>
      <c r="D317" s="43"/>
      <c r="E317" s="3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6" x14ac:dyDescent="0.25">
      <c r="A318" s="1"/>
      <c r="B318" s="1"/>
      <c r="C318" s="1"/>
      <c r="D318" s="43"/>
      <c r="E318" s="3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6" x14ac:dyDescent="0.25">
      <c r="A319" s="1"/>
      <c r="B319" s="1"/>
      <c r="C319" s="1"/>
      <c r="D319" s="43"/>
      <c r="E319" s="3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6" x14ac:dyDescent="0.25">
      <c r="A320" s="1"/>
      <c r="B320" s="1"/>
      <c r="C320" s="1"/>
      <c r="D320" s="43"/>
      <c r="E320" s="3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6" x14ac:dyDescent="0.25">
      <c r="A321" s="1"/>
      <c r="B321" s="1"/>
      <c r="C321" s="1"/>
      <c r="D321" s="43"/>
      <c r="E321" s="3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6" x14ac:dyDescent="0.25">
      <c r="A322" s="1"/>
      <c r="B322" s="1"/>
      <c r="C322" s="1"/>
      <c r="D322" s="43"/>
      <c r="E322" s="3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6" x14ac:dyDescent="0.25">
      <c r="A323" s="1"/>
      <c r="B323" s="1"/>
      <c r="C323" s="1"/>
      <c r="D323" s="43"/>
      <c r="E323" s="3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6" x14ac:dyDescent="0.25">
      <c r="A324" s="1"/>
      <c r="B324" s="1"/>
      <c r="C324" s="1"/>
      <c r="D324" s="43"/>
      <c r="E324" s="3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6" x14ac:dyDescent="0.25">
      <c r="A325" s="1"/>
      <c r="B325" s="1"/>
      <c r="C325" s="1"/>
      <c r="D325" s="43"/>
      <c r="E325" s="3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6" x14ac:dyDescent="0.25">
      <c r="A326" s="1"/>
      <c r="B326" s="1"/>
      <c r="C326" s="1"/>
      <c r="D326" s="43"/>
      <c r="E326" s="3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6" x14ac:dyDescent="0.25">
      <c r="A327" s="1"/>
      <c r="B327" s="1"/>
      <c r="C327" s="1"/>
      <c r="D327" s="43"/>
      <c r="E327" s="3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6" x14ac:dyDescent="0.25">
      <c r="A328" s="1"/>
      <c r="B328" s="1"/>
      <c r="C328" s="1"/>
      <c r="D328" s="43"/>
      <c r="E328" s="3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6" x14ac:dyDescent="0.25">
      <c r="A329" s="1"/>
      <c r="B329" s="1"/>
      <c r="C329" s="1"/>
      <c r="D329" s="43"/>
      <c r="E329" s="3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6" x14ac:dyDescent="0.25">
      <c r="A330" s="1"/>
      <c r="B330" s="1"/>
      <c r="C330" s="1"/>
      <c r="D330" s="43"/>
      <c r="E330" s="3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6" x14ac:dyDescent="0.25">
      <c r="A331" s="1"/>
      <c r="B331" s="1"/>
      <c r="C331" s="1"/>
      <c r="D331" s="43"/>
      <c r="E331" s="3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6" x14ac:dyDescent="0.25">
      <c r="A332" s="1"/>
      <c r="B332" s="1"/>
      <c r="C332" s="1"/>
      <c r="D332" s="43"/>
      <c r="E332" s="3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6" x14ac:dyDescent="0.25">
      <c r="A333" s="1"/>
      <c r="B333" s="1"/>
      <c r="C333" s="1"/>
      <c r="D333" s="43"/>
      <c r="E333" s="3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6" x14ac:dyDescent="0.25">
      <c r="A334" s="1"/>
      <c r="B334" s="1"/>
      <c r="C334" s="1"/>
      <c r="D334" s="43"/>
      <c r="E334" s="3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6" x14ac:dyDescent="0.25">
      <c r="A335" s="1"/>
      <c r="B335" s="1"/>
      <c r="C335" s="1"/>
      <c r="D335" s="43"/>
      <c r="E335" s="3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6" x14ac:dyDescent="0.25">
      <c r="A336" s="1"/>
      <c r="B336" s="1"/>
      <c r="C336" s="1"/>
      <c r="D336" s="43"/>
      <c r="E336" s="3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6" x14ac:dyDescent="0.25">
      <c r="A337" s="1"/>
      <c r="B337" s="1"/>
      <c r="C337" s="1"/>
      <c r="D337" s="43"/>
      <c r="E337" s="3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6" x14ac:dyDescent="0.25">
      <c r="A338" s="1"/>
      <c r="B338" s="1"/>
      <c r="C338" s="1"/>
      <c r="D338" s="43"/>
      <c r="E338" s="3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6" x14ac:dyDescent="0.25">
      <c r="A339" s="1"/>
      <c r="B339" s="1"/>
      <c r="C339" s="1"/>
      <c r="D339" s="43"/>
      <c r="E339" s="3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6" x14ac:dyDescent="0.25">
      <c r="A340" s="1"/>
      <c r="B340" s="1"/>
      <c r="C340" s="1"/>
      <c r="D340" s="43"/>
      <c r="E340" s="3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6" x14ac:dyDescent="0.25">
      <c r="A341" s="1"/>
      <c r="B341" s="1"/>
      <c r="C341" s="1"/>
      <c r="D341" s="43"/>
      <c r="E341" s="3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6" x14ac:dyDescent="0.25">
      <c r="A342" s="1"/>
      <c r="B342" s="1"/>
      <c r="C342" s="1"/>
      <c r="D342" s="43"/>
      <c r="E342" s="3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6" x14ac:dyDescent="0.25">
      <c r="A343" s="1"/>
      <c r="B343" s="1"/>
      <c r="C343" s="1"/>
      <c r="D343" s="43"/>
      <c r="E343" s="3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6" x14ac:dyDescent="0.25">
      <c r="A344" s="1"/>
      <c r="B344" s="1"/>
      <c r="C344" s="1"/>
      <c r="D344" s="43"/>
      <c r="E344" s="3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6" x14ac:dyDescent="0.25">
      <c r="A345" s="1"/>
      <c r="B345" s="1"/>
      <c r="C345" s="1"/>
      <c r="D345" s="43"/>
      <c r="E345" s="3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6" x14ac:dyDescent="0.25">
      <c r="A346" s="1"/>
      <c r="B346" s="1"/>
      <c r="C346" s="1"/>
      <c r="D346" s="43"/>
      <c r="E346" s="3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6" x14ac:dyDescent="0.25">
      <c r="A347" s="1"/>
      <c r="B347" s="1"/>
      <c r="C347" s="1"/>
      <c r="D347" s="43"/>
      <c r="E347" s="3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6" x14ac:dyDescent="0.25">
      <c r="A348" s="1"/>
      <c r="B348" s="1"/>
      <c r="C348" s="1"/>
      <c r="D348" s="43"/>
      <c r="E348" s="3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6" x14ac:dyDescent="0.25">
      <c r="A349" s="1"/>
      <c r="B349" s="1"/>
      <c r="C349" s="1"/>
      <c r="D349" s="43"/>
      <c r="E349" s="3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6" x14ac:dyDescent="0.25">
      <c r="A350" s="1"/>
      <c r="B350" s="1"/>
      <c r="C350" s="1"/>
      <c r="D350" s="43"/>
      <c r="E350" s="3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6" x14ac:dyDescent="0.25">
      <c r="A351" s="1"/>
      <c r="B351" s="1"/>
      <c r="C351" s="1"/>
      <c r="D351" s="43"/>
      <c r="E351" s="3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6" x14ac:dyDescent="0.25">
      <c r="A352" s="1"/>
      <c r="B352" s="1"/>
      <c r="C352" s="1"/>
      <c r="D352" s="43"/>
      <c r="E352" s="3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6" x14ac:dyDescent="0.25">
      <c r="A353" s="1"/>
      <c r="B353" s="1"/>
      <c r="C353" s="1"/>
      <c r="D353" s="43"/>
      <c r="E353" s="3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6" x14ac:dyDescent="0.25">
      <c r="A354" s="1"/>
      <c r="B354" s="1"/>
      <c r="C354" s="1"/>
      <c r="D354" s="43"/>
      <c r="E354" s="3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6" x14ac:dyDescent="0.25">
      <c r="A355" s="1"/>
      <c r="B355" s="1"/>
      <c r="C355" s="1"/>
      <c r="D355" s="43"/>
      <c r="E355" s="3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6" x14ac:dyDescent="0.25">
      <c r="A356" s="1"/>
      <c r="B356" s="1"/>
      <c r="C356" s="1"/>
      <c r="D356" s="43"/>
      <c r="E356" s="3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6" x14ac:dyDescent="0.25">
      <c r="A357" s="1"/>
      <c r="B357" s="1"/>
      <c r="C357" s="1"/>
      <c r="D357" s="43"/>
      <c r="E357" s="3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6" x14ac:dyDescent="0.25">
      <c r="A358" s="1"/>
      <c r="B358" s="1"/>
      <c r="C358" s="1"/>
      <c r="D358" s="43"/>
      <c r="E358" s="3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6" x14ac:dyDescent="0.25">
      <c r="A359" s="1"/>
      <c r="B359" s="1"/>
      <c r="C359" s="1"/>
      <c r="D359" s="43"/>
      <c r="E359" s="3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6" x14ac:dyDescent="0.25">
      <c r="A360" s="1"/>
      <c r="B360" s="1"/>
      <c r="C360" s="1"/>
      <c r="D360" s="43"/>
      <c r="E360" s="3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6" x14ac:dyDescent="0.25">
      <c r="A361" s="1"/>
      <c r="B361" s="1"/>
      <c r="C361" s="1"/>
      <c r="D361" s="43"/>
      <c r="E361" s="3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6" x14ac:dyDescent="0.25">
      <c r="A362" s="1"/>
      <c r="B362" s="1"/>
      <c r="C362" s="1"/>
      <c r="D362" s="43"/>
      <c r="E362" s="3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6" x14ac:dyDescent="0.25">
      <c r="A363" s="1"/>
      <c r="B363" s="1"/>
      <c r="C363" s="1"/>
      <c r="D363" s="43"/>
      <c r="E363" s="3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6" x14ac:dyDescent="0.25">
      <c r="A364" s="1"/>
      <c r="B364" s="1"/>
      <c r="C364" s="1"/>
      <c r="D364" s="43"/>
      <c r="E364" s="3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6" x14ac:dyDescent="0.25">
      <c r="A365" s="1"/>
      <c r="B365" s="1"/>
      <c r="C365" s="1"/>
      <c r="D365" s="43"/>
      <c r="E365" s="3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6" x14ac:dyDescent="0.25">
      <c r="A366" s="1"/>
      <c r="B366" s="1"/>
      <c r="C366" s="1"/>
      <c r="D366" s="43"/>
      <c r="E366" s="3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6" x14ac:dyDescent="0.25">
      <c r="A367" s="1"/>
      <c r="B367" s="1"/>
      <c r="C367" s="1"/>
      <c r="D367" s="43"/>
      <c r="E367" s="3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6" x14ac:dyDescent="0.25">
      <c r="A368" s="1"/>
      <c r="B368" s="1"/>
      <c r="C368" s="1"/>
      <c r="D368" s="43"/>
      <c r="E368" s="3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6" x14ac:dyDescent="0.25">
      <c r="A369" s="1"/>
      <c r="B369" s="1"/>
      <c r="C369" s="1"/>
      <c r="D369" s="43"/>
      <c r="E369" s="3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6" x14ac:dyDescent="0.25">
      <c r="A370" s="1"/>
      <c r="B370" s="1"/>
      <c r="C370" s="1"/>
      <c r="D370" s="43"/>
      <c r="E370" s="3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6" x14ac:dyDescent="0.25">
      <c r="A371" s="1"/>
      <c r="B371" s="1"/>
      <c r="C371" s="1"/>
      <c r="D371" s="43"/>
      <c r="E371" s="3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6" x14ac:dyDescent="0.25">
      <c r="A372" s="1"/>
      <c r="B372" s="1"/>
      <c r="C372" s="1"/>
      <c r="D372" s="43"/>
      <c r="E372" s="3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6" x14ac:dyDescent="0.25">
      <c r="A373" s="1"/>
      <c r="B373" s="1"/>
      <c r="C373" s="1"/>
      <c r="D373" s="43"/>
      <c r="E373" s="3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6" x14ac:dyDescent="0.25">
      <c r="A374" s="1"/>
      <c r="B374" s="1"/>
      <c r="C374" s="1"/>
      <c r="D374" s="43"/>
      <c r="E374" s="3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6" x14ac:dyDescent="0.25">
      <c r="A375" s="1"/>
      <c r="B375" s="1"/>
      <c r="C375" s="1"/>
      <c r="D375" s="43"/>
      <c r="E375" s="3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6" x14ac:dyDescent="0.25">
      <c r="A376" s="1"/>
      <c r="B376" s="1"/>
      <c r="C376" s="1"/>
      <c r="D376" s="43"/>
      <c r="E376" s="3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6" x14ac:dyDescent="0.25">
      <c r="A377" s="1"/>
      <c r="B377" s="1"/>
      <c r="C377" s="1"/>
      <c r="D377" s="43"/>
      <c r="E377" s="3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6" x14ac:dyDescent="0.25">
      <c r="A378" s="1"/>
      <c r="B378" s="1"/>
      <c r="C378" s="1"/>
      <c r="D378" s="43"/>
      <c r="E378" s="3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6" x14ac:dyDescent="0.25">
      <c r="A379" s="1"/>
      <c r="B379" s="1"/>
      <c r="C379" s="1"/>
      <c r="D379" s="43"/>
      <c r="E379" s="3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6" x14ac:dyDescent="0.25">
      <c r="A380" s="1"/>
      <c r="B380" s="1"/>
      <c r="C380" s="1"/>
      <c r="D380" s="43"/>
      <c r="E380" s="3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6" x14ac:dyDescent="0.25">
      <c r="A381" s="1"/>
      <c r="B381" s="1"/>
      <c r="C381" s="1"/>
      <c r="D381" s="43"/>
      <c r="E381" s="3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6" x14ac:dyDescent="0.25">
      <c r="A382" s="1"/>
      <c r="B382" s="1"/>
      <c r="C382" s="1"/>
      <c r="D382" s="43"/>
      <c r="E382" s="3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6" x14ac:dyDescent="0.25">
      <c r="A383" s="1"/>
      <c r="B383" s="1"/>
      <c r="C383" s="1"/>
      <c r="D383" s="43"/>
      <c r="E383" s="3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6" x14ac:dyDescent="0.25">
      <c r="A384" s="1"/>
      <c r="B384" s="1"/>
      <c r="C384" s="1"/>
      <c r="D384" s="43"/>
      <c r="E384" s="3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6" x14ac:dyDescent="0.25">
      <c r="A385" s="1"/>
      <c r="B385" s="1"/>
      <c r="C385" s="1"/>
      <c r="D385" s="43"/>
      <c r="E385" s="3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6" x14ac:dyDescent="0.25">
      <c r="A386" s="1"/>
      <c r="B386" s="1"/>
      <c r="C386" s="1"/>
      <c r="D386" s="43"/>
      <c r="E386" s="3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6" x14ac:dyDescent="0.25">
      <c r="A387" s="1"/>
      <c r="B387" s="1"/>
      <c r="C387" s="1"/>
      <c r="D387" s="43"/>
      <c r="E387" s="3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6" x14ac:dyDescent="0.25">
      <c r="A388" s="1"/>
      <c r="B388" s="1"/>
      <c r="C388" s="1"/>
      <c r="D388" s="43"/>
      <c r="E388" s="3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6" x14ac:dyDescent="0.25">
      <c r="A389" s="1"/>
      <c r="B389" s="1"/>
      <c r="C389" s="1"/>
      <c r="D389" s="43"/>
      <c r="E389" s="3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6" x14ac:dyDescent="0.25">
      <c r="A390" s="1"/>
      <c r="B390" s="1"/>
      <c r="C390" s="1"/>
      <c r="D390" s="43"/>
      <c r="E390" s="3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6" x14ac:dyDescent="0.25">
      <c r="A391" s="1"/>
      <c r="B391" s="1"/>
      <c r="C391" s="1"/>
      <c r="D391" s="43"/>
      <c r="E391" s="3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6" x14ac:dyDescent="0.25">
      <c r="A392" s="1"/>
      <c r="B392" s="1"/>
      <c r="C392" s="1"/>
      <c r="D392" s="43"/>
      <c r="E392" s="3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6" x14ac:dyDescent="0.25">
      <c r="A393" s="1"/>
      <c r="B393" s="1"/>
      <c r="C393" s="1"/>
      <c r="D393" s="43"/>
      <c r="E393" s="3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6" x14ac:dyDescent="0.25">
      <c r="A394" s="1"/>
      <c r="B394" s="1"/>
      <c r="C394" s="1"/>
      <c r="D394" s="43"/>
      <c r="E394" s="3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6" x14ac:dyDescent="0.25">
      <c r="A395" s="1"/>
      <c r="B395" s="1"/>
      <c r="C395" s="1"/>
      <c r="D395" s="43"/>
      <c r="E395" s="3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6" x14ac:dyDescent="0.25">
      <c r="A396" s="1"/>
      <c r="B396" s="1"/>
      <c r="C396" s="1"/>
      <c r="D396" s="43"/>
      <c r="E396" s="3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6" x14ac:dyDescent="0.25">
      <c r="A397" s="1"/>
      <c r="B397" s="1"/>
      <c r="C397" s="1"/>
      <c r="D397" s="43"/>
      <c r="E397" s="3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6" x14ac:dyDescent="0.25">
      <c r="A398" s="1"/>
      <c r="B398" s="1"/>
      <c r="C398" s="1"/>
      <c r="D398" s="43"/>
      <c r="E398" s="3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6" x14ac:dyDescent="0.25">
      <c r="A399" s="1"/>
      <c r="B399" s="1"/>
      <c r="C399" s="1"/>
      <c r="D399" s="43"/>
      <c r="E399" s="3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6" x14ac:dyDescent="0.25">
      <c r="A400" s="1"/>
      <c r="B400" s="1"/>
      <c r="C400" s="1"/>
      <c r="D400" s="43"/>
      <c r="E400" s="3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6" x14ac:dyDescent="0.25">
      <c r="A401" s="1"/>
      <c r="B401" s="1"/>
      <c r="C401" s="1"/>
      <c r="D401" s="43"/>
      <c r="E401" s="3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6" x14ac:dyDescent="0.25">
      <c r="A402" s="1"/>
      <c r="B402" s="1"/>
      <c r="C402" s="1"/>
      <c r="D402" s="43"/>
      <c r="E402" s="3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6" x14ac:dyDescent="0.25">
      <c r="A403" s="1"/>
      <c r="B403" s="1"/>
      <c r="C403" s="1"/>
      <c r="D403" s="43"/>
      <c r="E403" s="3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6" x14ac:dyDescent="0.25">
      <c r="A404" s="1"/>
      <c r="B404" s="1"/>
      <c r="C404" s="1"/>
      <c r="D404" s="43"/>
      <c r="E404" s="3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6" x14ac:dyDescent="0.25">
      <c r="A405" s="1"/>
      <c r="B405" s="1"/>
      <c r="C405" s="1"/>
      <c r="D405" s="43"/>
      <c r="E405" s="3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6" x14ac:dyDescent="0.25">
      <c r="A406" s="1"/>
      <c r="B406" s="1"/>
      <c r="C406" s="1"/>
      <c r="D406" s="43"/>
      <c r="E406" s="3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6" x14ac:dyDescent="0.25">
      <c r="A407" s="1"/>
      <c r="B407" s="1"/>
      <c r="C407" s="1"/>
      <c r="D407" s="43"/>
      <c r="E407" s="3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6" x14ac:dyDescent="0.25">
      <c r="A408" s="1"/>
      <c r="B408" s="1"/>
      <c r="C408" s="1"/>
      <c r="D408" s="43"/>
      <c r="E408" s="3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6" x14ac:dyDescent="0.25">
      <c r="A409" s="1"/>
      <c r="B409" s="1"/>
      <c r="C409" s="1"/>
      <c r="D409" s="43"/>
      <c r="E409" s="3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6" x14ac:dyDescent="0.25">
      <c r="A410" s="1"/>
      <c r="B410" s="1"/>
      <c r="C410" s="1"/>
      <c r="D410" s="43"/>
      <c r="E410" s="3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6" x14ac:dyDescent="0.25">
      <c r="A411" s="1"/>
      <c r="B411" s="1"/>
      <c r="C411" s="1"/>
      <c r="D411" s="43"/>
      <c r="E411" s="3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6" x14ac:dyDescent="0.25">
      <c r="A412" s="1"/>
      <c r="B412" s="1"/>
      <c r="C412" s="1"/>
      <c r="D412" s="43"/>
      <c r="E412" s="3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6" x14ac:dyDescent="0.25">
      <c r="A413" s="1"/>
      <c r="B413" s="1"/>
      <c r="C413" s="1"/>
      <c r="D413" s="43"/>
      <c r="E413" s="3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6" x14ac:dyDescent="0.25">
      <c r="A414" s="1"/>
      <c r="B414" s="1"/>
      <c r="C414" s="1"/>
      <c r="D414" s="43"/>
      <c r="E414" s="3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6" x14ac:dyDescent="0.25">
      <c r="A415" s="1"/>
      <c r="B415" s="1"/>
      <c r="C415" s="1"/>
      <c r="D415" s="43"/>
      <c r="E415" s="3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6" x14ac:dyDescent="0.25">
      <c r="A416" s="1"/>
      <c r="B416" s="1"/>
      <c r="C416" s="1"/>
      <c r="D416" s="43"/>
      <c r="E416" s="3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6" x14ac:dyDescent="0.25">
      <c r="A417" s="1"/>
      <c r="B417" s="1"/>
      <c r="C417" s="1"/>
      <c r="D417" s="43"/>
      <c r="E417" s="3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6" x14ac:dyDescent="0.25">
      <c r="A418" s="1"/>
      <c r="B418" s="1"/>
      <c r="C418" s="1"/>
      <c r="D418" s="43"/>
      <c r="E418" s="3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6" x14ac:dyDescent="0.25">
      <c r="A419" s="1"/>
      <c r="B419" s="1"/>
      <c r="C419" s="1"/>
      <c r="D419" s="43"/>
      <c r="E419" s="3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6" x14ac:dyDescent="0.25">
      <c r="A420" s="1"/>
      <c r="B420" s="1"/>
      <c r="C420" s="1"/>
      <c r="D420" s="43"/>
      <c r="E420" s="3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6" x14ac:dyDescent="0.25">
      <c r="A421" s="1"/>
      <c r="B421" s="1"/>
      <c r="C421" s="1"/>
      <c r="D421" s="43"/>
      <c r="E421" s="3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6" x14ac:dyDescent="0.25">
      <c r="A422" s="1"/>
      <c r="B422" s="1"/>
      <c r="C422" s="1"/>
      <c r="D422" s="43"/>
      <c r="E422" s="3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6" x14ac:dyDescent="0.25">
      <c r="A423" s="1"/>
      <c r="B423" s="1"/>
      <c r="C423" s="1"/>
      <c r="D423" s="43"/>
      <c r="E423" s="3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6" x14ac:dyDescent="0.25">
      <c r="A424" s="1"/>
      <c r="B424" s="1"/>
      <c r="C424" s="1"/>
      <c r="D424" s="43"/>
      <c r="E424" s="3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6" x14ac:dyDescent="0.25">
      <c r="A425" s="1"/>
      <c r="B425" s="1"/>
      <c r="C425" s="1"/>
      <c r="D425" s="43"/>
      <c r="E425" s="3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6" x14ac:dyDescent="0.25">
      <c r="A426" s="1"/>
      <c r="B426" s="1"/>
      <c r="C426" s="1"/>
      <c r="D426" s="43"/>
      <c r="E426" s="3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6" x14ac:dyDescent="0.25">
      <c r="A427" s="1"/>
      <c r="B427" s="1"/>
      <c r="C427" s="1"/>
      <c r="D427" s="43"/>
      <c r="E427" s="3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6" x14ac:dyDescent="0.25">
      <c r="A428" s="1"/>
      <c r="B428" s="1"/>
      <c r="C428" s="1"/>
      <c r="D428" s="43"/>
      <c r="E428" s="3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6" x14ac:dyDescent="0.25">
      <c r="A429" s="1"/>
      <c r="B429" s="1"/>
      <c r="C429" s="1"/>
      <c r="D429" s="43"/>
      <c r="E429" s="3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6" x14ac:dyDescent="0.25">
      <c r="A430" s="1"/>
      <c r="B430" s="1"/>
      <c r="C430" s="1"/>
      <c r="D430" s="43"/>
      <c r="E430" s="3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6" x14ac:dyDescent="0.25">
      <c r="A431" s="1"/>
      <c r="B431" s="1"/>
      <c r="C431" s="1"/>
      <c r="D431" s="43"/>
      <c r="E431" s="3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6" x14ac:dyDescent="0.25">
      <c r="A432" s="1"/>
      <c r="B432" s="1"/>
      <c r="C432" s="1"/>
      <c r="D432" s="43"/>
      <c r="E432" s="3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6" x14ac:dyDescent="0.25">
      <c r="A433" s="1"/>
      <c r="B433" s="1"/>
      <c r="C433" s="1"/>
      <c r="D433" s="43"/>
      <c r="E433" s="3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6" x14ac:dyDescent="0.25">
      <c r="A434" s="1"/>
      <c r="B434" s="1"/>
      <c r="C434" s="1"/>
      <c r="D434" s="43"/>
      <c r="E434" s="3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6" x14ac:dyDescent="0.25">
      <c r="A435" s="1"/>
      <c r="B435" s="1"/>
      <c r="C435" s="1"/>
      <c r="D435" s="43"/>
      <c r="E435" s="3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6" x14ac:dyDescent="0.25">
      <c r="A436" s="1"/>
      <c r="B436" s="1"/>
      <c r="C436" s="1"/>
      <c r="D436" s="43"/>
      <c r="E436" s="3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6" x14ac:dyDescent="0.25">
      <c r="A437" s="1"/>
      <c r="B437" s="1"/>
      <c r="C437" s="1"/>
      <c r="D437" s="43"/>
      <c r="E437" s="3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6" x14ac:dyDescent="0.25">
      <c r="A438" s="1"/>
      <c r="B438" s="1"/>
      <c r="C438" s="1"/>
      <c r="D438" s="43"/>
      <c r="E438" s="3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6" x14ac:dyDescent="0.25">
      <c r="A439" s="1"/>
      <c r="B439" s="1"/>
      <c r="C439" s="1"/>
      <c r="D439" s="43"/>
      <c r="E439" s="3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6" x14ac:dyDescent="0.25">
      <c r="A440" s="1"/>
      <c r="B440" s="1"/>
      <c r="C440" s="1"/>
      <c r="D440" s="43"/>
      <c r="E440" s="3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6" x14ac:dyDescent="0.25">
      <c r="A441" s="1"/>
      <c r="B441" s="1"/>
      <c r="C441" s="1"/>
      <c r="D441" s="43"/>
      <c r="E441" s="3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6" x14ac:dyDescent="0.25">
      <c r="A442" s="1"/>
      <c r="B442" s="1"/>
      <c r="C442" s="1"/>
      <c r="D442" s="43"/>
      <c r="E442" s="3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6" x14ac:dyDescent="0.25">
      <c r="A443" s="1"/>
      <c r="B443" s="1"/>
      <c r="C443" s="1"/>
      <c r="D443" s="43"/>
      <c r="E443" s="3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6" x14ac:dyDescent="0.25">
      <c r="A444" s="1"/>
      <c r="B444" s="1"/>
      <c r="C444" s="1"/>
      <c r="D444" s="43"/>
      <c r="E444" s="3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6" x14ac:dyDescent="0.25">
      <c r="A445" s="1"/>
      <c r="B445" s="1"/>
      <c r="C445" s="1"/>
      <c r="D445" s="43"/>
      <c r="E445" s="3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6" x14ac:dyDescent="0.25">
      <c r="A446" s="1"/>
      <c r="B446" s="1"/>
      <c r="C446" s="1"/>
      <c r="D446" s="43"/>
      <c r="E446" s="3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6" x14ac:dyDescent="0.25">
      <c r="A447" s="1"/>
      <c r="B447" s="1"/>
      <c r="C447" s="1"/>
      <c r="D447" s="43"/>
      <c r="E447" s="3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6" x14ac:dyDescent="0.25">
      <c r="A448" s="1"/>
      <c r="B448" s="1"/>
      <c r="C448" s="1"/>
      <c r="D448" s="43"/>
      <c r="E448" s="3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6" x14ac:dyDescent="0.25">
      <c r="A449" s="1"/>
      <c r="B449" s="1"/>
      <c r="C449" s="1"/>
      <c r="D449" s="43"/>
      <c r="E449" s="3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6" x14ac:dyDescent="0.25">
      <c r="A450" s="1"/>
      <c r="B450" s="1"/>
      <c r="C450" s="1"/>
      <c r="D450" s="43"/>
      <c r="E450" s="3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6" x14ac:dyDescent="0.25">
      <c r="A451" s="1"/>
      <c r="B451" s="1"/>
      <c r="C451" s="1"/>
      <c r="D451" s="43"/>
      <c r="E451" s="3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6" x14ac:dyDescent="0.25">
      <c r="A452" s="1"/>
      <c r="B452" s="1"/>
      <c r="C452" s="1"/>
      <c r="D452" s="43"/>
      <c r="E452" s="3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6" x14ac:dyDescent="0.25">
      <c r="A453" s="1"/>
      <c r="B453" s="1"/>
      <c r="C453" s="1"/>
      <c r="D453" s="43"/>
      <c r="E453" s="3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6" x14ac:dyDescent="0.25">
      <c r="A454" s="1"/>
      <c r="B454" s="1"/>
      <c r="C454" s="1"/>
      <c r="D454" s="43"/>
      <c r="E454" s="3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6" x14ac:dyDescent="0.25">
      <c r="A455" s="1"/>
      <c r="B455" s="1"/>
      <c r="C455" s="1"/>
      <c r="D455" s="43"/>
      <c r="E455" s="3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6" x14ac:dyDescent="0.25">
      <c r="A456" s="1"/>
      <c r="B456" s="1"/>
      <c r="C456" s="1"/>
      <c r="D456" s="43"/>
      <c r="E456" s="3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6" x14ac:dyDescent="0.25">
      <c r="A457" s="1"/>
      <c r="B457" s="1"/>
      <c r="C457" s="1"/>
      <c r="D457" s="43"/>
      <c r="E457" s="3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6" x14ac:dyDescent="0.25">
      <c r="A458" s="1"/>
      <c r="B458" s="1"/>
      <c r="C458" s="1"/>
      <c r="D458" s="43"/>
      <c r="E458" s="3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6" x14ac:dyDescent="0.25">
      <c r="A459" s="1"/>
      <c r="B459" s="1"/>
      <c r="C459" s="1"/>
      <c r="D459" s="43"/>
      <c r="E459" s="3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6" x14ac:dyDescent="0.25">
      <c r="A460" s="1"/>
      <c r="B460" s="1"/>
      <c r="C460" s="1"/>
      <c r="D460" s="43"/>
      <c r="E460" s="3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6" x14ac:dyDescent="0.25">
      <c r="A461" s="1"/>
      <c r="B461" s="1"/>
      <c r="C461" s="1"/>
      <c r="D461" s="43"/>
      <c r="E461" s="3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6" x14ac:dyDescent="0.25">
      <c r="A462" s="1"/>
      <c r="B462" s="1"/>
      <c r="C462" s="1"/>
      <c r="D462" s="43"/>
      <c r="E462" s="3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6" x14ac:dyDescent="0.25">
      <c r="A463" s="1"/>
      <c r="B463" s="1"/>
      <c r="C463" s="1"/>
      <c r="D463" s="43"/>
      <c r="E463" s="3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6" x14ac:dyDescent="0.25">
      <c r="A464" s="1"/>
      <c r="B464" s="1"/>
      <c r="C464" s="1"/>
      <c r="D464" s="43"/>
      <c r="E464" s="3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6" x14ac:dyDescent="0.25">
      <c r="A465" s="1"/>
      <c r="B465" s="1"/>
      <c r="C465" s="1"/>
      <c r="D465" s="43"/>
      <c r="E465" s="3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6" x14ac:dyDescent="0.25">
      <c r="A466" s="1"/>
      <c r="B466" s="1"/>
      <c r="C466" s="1"/>
      <c r="D466" s="43"/>
      <c r="E466" s="3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6" x14ac:dyDescent="0.25">
      <c r="A467" s="1"/>
      <c r="B467" s="1"/>
      <c r="C467" s="1"/>
      <c r="D467" s="43"/>
      <c r="E467" s="3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6" x14ac:dyDescent="0.25">
      <c r="A468" s="1"/>
      <c r="B468" s="1"/>
      <c r="C468" s="1"/>
      <c r="D468" s="43"/>
      <c r="E468" s="3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6" x14ac:dyDescent="0.25">
      <c r="A469" s="1"/>
      <c r="B469" s="1"/>
      <c r="C469" s="1"/>
      <c r="D469" s="43"/>
      <c r="E469" s="3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6" x14ac:dyDescent="0.25">
      <c r="A470" s="1"/>
      <c r="B470" s="1"/>
      <c r="C470" s="1"/>
      <c r="D470" s="43"/>
      <c r="E470" s="3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6" x14ac:dyDescent="0.25">
      <c r="A471" s="1"/>
      <c r="B471" s="1"/>
      <c r="C471" s="1"/>
      <c r="D471" s="43"/>
      <c r="E471" s="3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6" x14ac:dyDescent="0.25">
      <c r="A472" s="1"/>
      <c r="B472" s="1"/>
      <c r="C472" s="1"/>
      <c r="D472" s="43"/>
      <c r="E472" s="3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6" x14ac:dyDescent="0.25">
      <c r="A473" s="1"/>
      <c r="B473" s="1"/>
      <c r="C473" s="1"/>
      <c r="D473" s="43"/>
      <c r="E473" s="3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6" x14ac:dyDescent="0.25">
      <c r="A474" s="1"/>
      <c r="B474" s="1"/>
      <c r="C474" s="1"/>
      <c r="D474" s="43"/>
      <c r="E474" s="3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6" x14ac:dyDescent="0.25">
      <c r="A475" s="1"/>
      <c r="B475" s="1"/>
      <c r="C475" s="1"/>
      <c r="D475" s="43"/>
      <c r="E475" s="3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6" x14ac:dyDescent="0.25">
      <c r="A476" s="1"/>
      <c r="B476" s="1"/>
      <c r="C476" s="1"/>
      <c r="D476" s="43"/>
      <c r="E476" s="3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6" x14ac:dyDescent="0.25">
      <c r="A477" s="1"/>
      <c r="B477" s="1"/>
      <c r="C477" s="1"/>
      <c r="D477" s="43"/>
      <c r="E477" s="3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6" x14ac:dyDescent="0.25">
      <c r="A478" s="1"/>
      <c r="B478" s="1"/>
      <c r="C478" s="1"/>
      <c r="D478" s="43"/>
      <c r="E478" s="3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6" x14ac:dyDescent="0.25">
      <c r="A479" s="1"/>
      <c r="B479" s="1"/>
      <c r="C479" s="1"/>
      <c r="D479" s="43"/>
      <c r="E479" s="3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6" x14ac:dyDescent="0.25">
      <c r="A480" s="1"/>
      <c r="B480" s="1"/>
      <c r="C480" s="1"/>
      <c r="D480" s="43"/>
      <c r="E480" s="3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6" x14ac:dyDescent="0.25">
      <c r="A481" s="1"/>
      <c r="B481" s="1"/>
      <c r="C481" s="1"/>
      <c r="D481" s="43"/>
      <c r="E481" s="3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6" x14ac:dyDescent="0.25">
      <c r="A482" s="1"/>
      <c r="B482" s="1"/>
      <c r="C482" s="1"/>
      <c r="D482" s="43"/>
      <c r="E482" s="3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6" x14ac:dyDescent="0.25">
      <c r="A483" s="1"/>
      <c r="B483" s="1"/>
      <c r="C483" s="1"/>
      <c r="D483" s="43"/>
      <c r="E483" s="3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6" x14ac:dyDescent="0.25">
      <c r="A484" s="1"/>
      <c r="B484" s="1"/>
      <c r="C484" s="1"/>
      <c r="D484" s="43"/>
      <c r="E484" s="3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6" x14ac:dyDescent="0.25">
      <c r="A485" s="1"/>
      <c r="B485" s="1"/>
      <c r="C485" s="1"/>
      <c r="D485" s="43"/>
      <c r="E485" s="3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6" x14ac:dyDescent="0.25">
      <c r="A486" s="1"/>
      <c r="B486" s="1"/>
      <c r="C486" s="1"/>
      <c r="D486" s="43"/>
      <c r="E486" s="3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6" x14ac:dyDescent="0.25">
      <c r="A487" s="1"/>
      <c r="B487" s="1"/>
      <c r="C487" s="1"/>
      <c r="D487" s="43"/>
      <c r="E487" s="3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6" x14ac:dyDescent="0.25">
      <c r="A488" s="1"/>
      <c r="B488" s="1"/>
      <c r="C488" s="1"/>
      <c r="D488" s="43"/>
      <c r="E488" s="3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6" x14ac:dyDescent="0.25">
      <c r="A489" s="1"/>
      <c r="B489" s="1"/>
      <c r="C489" s="1"/>
      <c r="D489" s="43"/>
      <c r="E489" s="3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6" x14ac:dyDescent="0.25">
      <c r="A490" s="1"/>
      <c r="B490" s="1"/>
      <c r="C490" s="1"/>
      <c r="D490" s="43"/>
      <c r="E490" s="3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6" x14ac:dyDescent="0.25">
      <c r="A491" s="1"/>
      <c r="B491" s="1"/>
      <c r="C491" s="1"/>
      <c r="D491" s="43"/>
      <c r="E491" s="3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6" x14ac:dyDescent="0.25">
      <c r="A492" s="1"/>
      <c r="B492" s="1"/>
      <c r="C492" s="1"/>
      <c r="D492" s="43"/>
      <c r="E492" s="3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6" x14ac:dyDescent="0.25">
      <c r="A493" s="1"/>
      <c r="B493" s="1"/>
      <c r="C493" s="1"/>
      <c r="D493" s="43"/>
      <c r="E493" s="3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6" x14ac:dyDescent="0.25">
      <c r="A494" s="1"/>
      <c r="B494" s="1"/>
      <c r="C494" s="1"/>
      <c r="D494" s="43"/>
      <c r="E494" s="3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6" x14ac:dyDescent="0.25">
      <c r="A495" s="1"/>
      <c r="B495" s="1"/>
      <c r="C495" s="1"/>
      <c r="D495" s="43"/>
      <c r="E495" s="3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6" x14ac:dyDescent="0.25">
      <c r="A496" s="1"/>
      <c r="B496" s="1"/>
      <c r="C496" s="1"/>
      <c r="D496" s="43"/>
      <c r="E496" s="3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6" x14ac:dyDescent="0.25">
      <c r="A497" s="1"/>
      <c r="B497" s="1"/>
      <c r="C497" s="1"/>
      <c r="D497" s="43"/>
      <c r="E497" s="3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6" x14ac:dyDescent="0.25">
      <c r="A498" s="1"/>
      <c r="B498" s="1"/>
      <c r="C498" s="1"/>
      <c r="D498" s="43"/>
      <c r="E498" s="3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6" x14ac:dyDescent="0.25">
      <c r="A499" s="1"/>
      <c r="B499" s="1"/>
      <c r="C499" s="1"/>
      <c r="D499" s="43"/>
      <c r="E499" s="3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6" x14ac:dyDescent="0.25">
      <c r="A500" s="1"/>
      <c r="B500" s="1"/>
      <c r="C500" s="1"/>
      <c r="D500" s="43"/>
      <c r="E500" s="3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6" x14ac:dyDescent="0.25">
      <c r="A501" s="1"/>
      <c r="B501" s="1"/>
      <c r="C501" s="1"/>
      <c r="D501" s="43"/>
      <c r="E501" s="3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6" x14ac:dyDescent="0.25">
      <c r="A502" s="1"/>
      <c r="B502" s="1"/>
      <c r="C502" s="1"/>
      <c r="D502" s="43"/>
      <c r="E502" s="3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6" x14ac:dyDescent="0.25">
      <c r="A503" s="1"/>
      <c r="B503" s="1"/>
      <c r="C503" s="1"/>
      <c r="D503" s="43"/>
      <c r="E503" s="3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6" x14ac:dyDescent="0.25">
      <c r="A504" s="1"/>
      <c r="B504" s="1"/>
      <c r="C504" s="1"/>
      <c r="D504" s="43"/>
      <c r="E504" s="3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6" x14ac:dyDescent="0.25">
      <c r="A505" s="1"/>
      <c r="B505" s="1"/>
      <c r="C505" s="1"/>
      <c r="D505" s="43"/>
      <c r="E505" s="3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6" x14ac:dyDescent="0.25">
      <c r="A506" s="1"/>
      <c r="B506" s="1"/>
      <c r="C506" s="1"/>
      <c r="D506" s="43"/>
      <c r="E506" s="3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6" x14ac:dyDescent="0.25">
      <c r="A507" s="1"/>
      <c r="B507" s="1"/>
      <c r="C507" s="1"/>
      <c r="D507" s="43"/>
      <c r="E507" s="3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6" x14ac:dyDescent="0.25">
      <c r="A508" s="1"/>
      <c r="B508" s="1"/>
      <c r="C508" s="1"/>
      <c r="D508" s="43"/>
      <c r="E508" s="3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6" x14ac:dyDescent="0.25">
      <c r="A509" s="1"/>
      <c r="B509" s="1"/>
      <c r="C509" s="1"/>
      <c r="D509" s="43"/>
      <c r="E509" s="3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6" x14ac:dyDescent="0.25">
      <c r="A510" s="1"/>
      <c r="B510" s="1"/>
      <c r="C510" s="1"/>
      <c r="D510" s="43"/>
      <c r="E510" s="3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6" x14ac:dyDescent="0.25">
      <c r="A511" s="1"/>
      <c r="B511" s="1"/>
      <c r="C511" s="1"/>
      <c r="D511" s="43"/>
      <c r="E511" s="3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6" x14ac:dyDescent="0.25">
      <c r="A512" s="1"/>
      <c r="B512" s="1"/>
      <c r="C512" s="1"/>
      <c r="D512" s="43"/>
      <c r="E512" s="3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6" x14ac:dyDescent="0.25">
      <c r="A513" s="1"/>
      <c r="B513" s="1"/>
      <c r="C513" s="1"/>
      <c r="D513" s="43"/>
      <c r="E513" s="3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6" x14ac:dyDescent="0.25">
      <c r="A514" s="1"/>
      <c r="B514" s="1"/>
      <c r="C514" s="1"/>
      <c r="D514" s="43"/>
      <c r="E514" s="3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6" x14ac:dyDescent="0.25">
      <c r="A515" s="1"/>
      <c r="B515" s="1"/>
      <c r="C515" s="1"/>
      <c r="D515" s="43"/>
      <c r="E515" s="3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6" x14ac:dyDescent="0.25">
      <c r="A516" s="1"/>
      <c r="B516" s="1"/>
      <c r="C516" s="1"/>
      <c r="D516" s="43"/>
      <c r="E516" s="3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6" x14ac:dyDescent="0.25">
      <c r="A517" s="1"/>
      <c r="B517" s="1"/>
      <c r="C517" s="1"/>
      <c r="D517" s="43"/>
      <c r="E517" s="3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6" x14ac:dyDescent="0.25">
      <c r="A518" s="1"/>
      <c r="B518" s="1"/>
      <c r="C518" s="1"/>
      <c r="D518" s="43"/>
      <c r="E518" s="3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6" x14ac:dyDescent="0.25">
      <c r="A519" s="1"/>
      <c r="B519" s="1"/>
      <c r="C519" s="1"/>
      <c r="D519" s="43"/>
      <c r="E519" s="3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6" x14ac:dyDescent="0.25">
      <c r="A520" s="1"/>
      <c r="B520" s="1"/>
      <c r="C520" s="1"/>
      <c r="D520" s="43"/>
      <c r="E520" s="3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6" x14ac:dyDescent="0.25">
      <c r="A521" s="1"/>
      <c r="B521" s="1"/>
      <c r="C521" s="1"/>
      <c r="D521" s="43"/>
      <c r="E521" s="3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6" x14ac:dyDescent="0.25">
      <c r="A522" s="1"/>
      <c r="B522" s="1"/>
      <c r="C522" s="1"/>
      <c r="D522" s="43"/>
      <c r="E522" s="3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6" x14ac:dyDescent="0.25">
      <c r="A523" s="1"/>
      <c r="B523" s="1"/>
      <c r="C523" s="1"/>
      <c r="D523" s="43"/>
      <c r="E523" s="3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6" x14ac:dyDescent="0.25">
      <c r="A524" s="1"/>
      <c r="B524" s="1"/>
      <c r="C524" s="1"/>
      <c r="D524" s="43"/>
      <c r="E524" s="3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6" x14ac:dyDescent="0.25">
      <c r="A525" s="1"/>
      <c r="B525" s="1"/>
      <c r="C525" s="1"/>
      <c r="D525" s="43"/>
      <c r="E525" s="3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6" x14ac:dyDescent="0.25">
      <c r="A526" s="1"/>
      <c r="B526" s="1"/>
      <c r="C526" s="1"/>
      <c r="D526" s="43"/>
      <c r="E526" s="3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6" x14ac:dyDescent="0.25">
      <c r="A527" s="1"/>
      <c r="B527" s="1"/>
      <c r="C527" s="1"/>
      <c r="D527" s="43"/>
      <c r="E527" s="3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6" x14ac:dyDescent="0.25">
      <c r="A528" s="1"/>
      <c r="B528" s="1"/>
      <c r="C528" s="1"/>
      <c r="D528" s="43"/>
      <c r="E528" s="3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6" x14ac:dyDescent="0.25">
      <c r="A529" s="1"/>
      <c r="B529" s="1"/>
      <c r="C529" s="1"/>
      <c r="D529" s="43"/>
      <c r="E529" s="3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6" x14ac:dyDescent="0.25">
      <c r="A530" s="1"/>
      <c r="B530" s="1"/>
      <c r="C530" s="1"/>
      <c r="D530" s="43"/>
      <c r="E530" s="3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6" x14ac:dyDescent="0.25">
      <c r="A531" s="1"/>
      <c r="B531" s="1"/>
      <c r="C531" s="1"/>
      <c r="D531" s="43"/>
      <c r="E531" s="3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6" x14ac:dyDescent="0.25">
      <c r="A532" s="1"/>
      <c r="B532" s="1"/>
      <c r="C532" s="1"/>
      <c r="D532" s="43"/>
      <c r="E532" s="3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6" x14ac:dyDescent="0.25">
      <c r="A533" s="1"/>
      <c r="B533" s="1"/>
      <c r="C533" s="1"/>
      <c r="D533" s="43"/>
      <c r="E533" s="3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6" x14ac:dyDescent="0.25">
      <c r="A534" s="1"/>
      <c r="B534" s="1"/>
      <c r="C534" s="1"/>
      <c r="D534" s="43"/>
      <c r="E534" s="3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6" x14ac:dyDescent="0.25">
      <c r="A535" s="1"/>
      <c r="B535" s="1"/>
      <c r="C535" s="1"/>
      <c r="D535" s="43"/>
      <c r="E535" s="3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6" x14ac:dyDescent="0.25">
      <c r="A536" s="1"/>
      <c r="B536" s="1"/>
      <c r="C536" s="1"/>
      <c r="D536" s="43"/>
      <c r="E536" s="3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6" x14ac:dyDescent="0.25">
      <c r="A537" s="1"/>
      <c r="B537" s="1"/>
      <c r="C537" s="1"/>
      <c r="D537" s="43"/>
      <c r="E537" s="3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6" x14ac:dyDescent="0.25">
      <c r="A538" s="1"/>
      <c r="B538" s="1"/>
      <c r="C538" s="1"/>
      <c r="D538" s="43"/>
      <c r="E538" s="3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6" x14ac:dyDescent="0.25">
      <c r="A539" s="1"/>
      <c r="B539" s="1"/>
      <c r="C539" s="1"/>
      <c r="D539" s="43"/>
      <c r="E539" s="3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6" x14ac:dyDescent="0.25">
      <c r="A540" s="1"/>
      <c r="B540" s="1"/>
      <c r="C540" s="1"/>
      <c r="D540" s="43"/>
      <c r="E540" s="3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6" x14ac:dyDescent="0.25">
      <c r="A541" s="1"/>
      <c r="B541" s="1"/>
      <c r="C541" s="1"/>
      <c r="D541" s="43"/>
      <c r="E541" s="3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6" x14ac:dyDescent="0.25">
      <c r="A542" s="1"/>
      <c r="B542" s="1"/>
      <c r="C542" s="1"/>
      <c r="D542" s="43"/>
      <c r="E542" s="3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6" x14ac:dyDescent="0.25">
      <c r="A543" s="1"/>
      <c r="B543" s="1"/>
      <c r="C543" s="1"/>
      <c r="D543" s="43"/>
      <c r="E543" s="3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6" x14ac:dyDescent="0.25">
      <c r="A544" s="1"/>
      <c r="B544" s="1"/>
      <c r="C544" s="1"/>
      <c r="D544" s="43"/>
      <c r="E544" s="3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6" x14ac:dyDescent="0.25">
      <c r="A545" s="1"/>
      <c r="B545" s="1"/>
      <c r="C545" s="1"/>
      <c r="D545" s="43"/>
      <c r="E545" s="3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6" x14ac:dyDescent="0.25">
      <c r="A546" s="1"/>
      <c r="B546" s="1"/>
      <c r="C546" s="1"/>
      <c r="D546" s="43"/>
      <c r="E546" s="3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6" x14ac:dyDescent="0.25">
      <c r="A547" s="1"/>
      <c r="B547" s="1"/>
      <c r="C547" s="1"/>
      <c r="D547" s="43"/>
      <c r="E547" s="3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6" x14ac:dyDescent="0.25">
      <c r="A548" s="1"/>
      <c r="B548" s="1"/>
      <c r="C548" s="1"/>
      <c r="D548" s="43"/>
      <c r="E548" s="3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6" x14ac:dyDescent="0.25">
      <c r="A549" s="1"/>
      <c r="B549" s="1"/>
      <c r="C549" s="1"/>
      <c r="D549" s="43"/>
      <c r="E549" s="3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6" x14ac:dyDescent="0.25">
      <c r="A550" s="1"/>
      <c r="B550" s="1"/>
      <c r="C550" s="1"/>
      <c r="D550" s="43"/>
      <c r="E550" s="3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6" x14ac:dyDescent="0.25">
      <c r="A551" s="1"/>
      <c r="B551" s="1"/>
      <c r="C551" s="1"/>
      <c r="D551" s="43"/>
      <c r="E551" s="3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6" x14ac:dyDescent="0.25">
      <c r="A552" s="1"/>
      <c r="B552" s="1"/>
      <c r="C552" s="1"/>
      <c r="D552" s="43"/>
      <c r="E552" s="3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6" x14ac:dyDescent="0.25">
      <c r="A553" s="1"/>
      <c r="B553" s="1"/>
      <c r="C553" s="1"/>
      <c r="D553" s="43"/>
      <c r="E553" s="3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6" x14ac:dyDescent="0.25">
      <c r="A554" s="1"/>
      <c r="B554" s="1"/>
      <c r="C554" s="1"/>
      <c r="D554" s="43"/>
      <c r="E554" s="3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6" x14ac:dyDescent="0.25">
      <c r="A555" s="1"/>
      <c r="B555" s="1"/>
      <c r="C555" s="1"/>
      <c r="D555" s="43"/>
      <c r="E555" s="3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6" x14ac:dyDescent="0.25">
      <c r="A556" s="1"/>
      <c r="B556" s="1"/>
      <c r="C556" s="1"/>
      <c r="D556" s="43"/>
      <c r="E556" s="3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6" x14ac:dyDescent="0.25">
      <c r="A557" s="1"/>
      <c r="B557" s="1"/>
      <c r="C557" s="1"/>
      <c r="D557" s="43"/>
      <c r="E557" s="3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6" x14ac:dyDescent="0.25">
      <c r="A558" s="1"/>
      <c r="B558" s="1"/>
      <c r="C558" s="1"/>
      <c r="D558" s="43"/>
      <c r="E558" s="3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6" x14ac:dyDescent="0.25">
      <c r="A559" s="1"/>
      <c r="B559" s="1"/>
      <c r="C559" s="1"/>
      <c r="D559" s="43"/>
      <c r="E559" s="3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6" x14ac:dyDescent="0.25">
      <c r="A560" s="1"/>
      <c r="B560" s="1"/>
      <c r="C560" s="1"/>
      <c r="D560" s="43"/>
      <c r="E560" s="3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6" x14ac:dyDescent="0.25">
      <c r="A561" s="1"/>
      <c r="B561" s="1"/>
      <c r="C561" s="1"/>
      <c r="D561" s="43"/>
      <c r="E561" s="3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6" x14ac:dyDescent="0.25">
      <c r="A562" s="1"/>
      <c r="B562" s="1"/>
      <c r="C562" s="1"/>
      <c r="D562" s="43"/>
      <c r="E562" s="3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6" x14ac:dyDescent="0.25">
      <c r="A563" s="1"/>
      <c r="B563" s="1"/>
      <c r="C563" s="1"/>
      <c r="D563" s="43"/>
      <c r="E563" s="3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6" x14ac:dyDescent="0.25">
      <c r="A564" s="1"/>
      <c r="B564" s="1"/>
      <c r="C564" s="1"/>
      <c r="D564" s="43"/>
      <c r="E564" s="3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6" x14ac:dyDescent="0.25">
      <c r="A565" s="1"/>
      <c r="B565" s="1"/>
      <c r="C565" s="1"/>
      <c r="D565" s="43"/>
      <c r="E565" s="3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6" x14ac:dyDescent="0.25">
      <c r="A566" s="1"/>
      <c r="B566" s="1"/>
      <c r="C566" s="1"/>
      <c r="D566" s="43"/>
      <c r="E566" s="3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6" x14ac:dyDescent="0.25">
      <c r="A567" s="1"/>
      <c r="B567" s="1"/>
      <c r="C567" s="1"/>
      <c r="D567" s="43"/>
      <c r="E567" s="3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6" x14ac:dyDescent="0.25">
      <c r="A568" s="1"/>
      <c r="B568" s="1"/>
      <c r="C568" s="1"/>
      <c r="D568" s="43"/>
      <c r="E568" s="3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6" x14ac:dyDescent="0.25">
      <c r="A569" s="1"/>
      <c r="B569" s="1"/>
      <c r="C569" s="1"/>
      <c r="D569" s="43"/>
      <c r="E569" s="3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6" x14ac:dyDescent="0.25">
      <c r="A570" s="1"/>
      <c r="B570" s="1"/>
      <c r="C570" s="1"/>
      <c r="D570" s="43"/>
      <c r="E570" s="3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6" x14ac:dyDescent="0.25">
      <c r="A571" s="1"/>
      <c r="B571" s="1"/>
      <c r="C571" s="1"/>
      <c r="D571" s="43"/>
      <c r="E571" s="3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6" x14ac:dyDescent="0.25">
      <c r="A572" s="1"/>
      <c r="B572" s="1"/>
      <c r="C572" s="1"/>
      <c r="D572" s="43"/>
      <c r="E572" s="3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6" x14ac:dyDescent="0.25">
      <c r="A573" s="1"/>
      <c r="B573" s="1"/>
      <c r="C573" s="1"/>
      <c r="D573" s="43"/>
      <c r="E573" s="3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6" x14ac:dyDescent="0.25">
      <c r="A574" s="1"/>
      <c r="B574" s="1"/>
      <c r="C574" s="1"/>
      <c r="D574" s="43"/>
      <c r="E574" s="3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6" x14ac:dyDescent="0.25">
      <c r="A575" s="1"/>
      <c r="B575" s="1"/>
      <c r="C575" s="1"/>
      <c r="D575" s="43"/>
      <c r="E575" s="3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6" x14ac:dyDescent="0.25">
      <c r="A576" s="1"/>
      <c r="B576" s="1"/>
      <c r="C576" s="1"/>
      <c r="D576" s="43"/>
      <c r="E576" s="3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6" x14ac:dyDescent="0.25">
      <c r="A577" s="1"/>
      <c r="B577" s="1"/>
      <c r="C577" s="1"/>
      <c r="D577" s="43"/>
      <c r="E577" s="3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6" x14ac:dyDescent="0.25">
      <c r="A578" s="1"/>
      <c r="B578" s="1"/>
      <c r="C578" s="1"/>
      <c r="D578" s="43"/>
      <c r="E578" s="3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6" x14ac:dyDescent="0.25">
      <c r="A579" s="1"/>
      <c r="B579" s="1"/>
      <c r="C579" s="1"/>
      <c r="D579" s="43"/>
      <c r="E579" s="3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6" x14ac:dyDescent="0.25">
      <c r="A580" s="1"/>
      <c r="B580" s="1"/>
      <c r="C580" s="1"/>
      <c r="D580" s="43"/>
      <c r="E580" s="3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6" x14ac:dyDescent="0.25">
      <c r="A581" s="1"/>
      <c r="B581" s="1"/>
      <c r="C581" s="1"/>
      <c r="D581" s="43"/>
      <c r="E581" s="3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6" x14ac:dyDescent="0.25">
      <c r="A582" s="1"/>
      <c r="B582" s="1"/>
      <c r="C582" s="1"/>
      <c r="D582" s="43"/>
      <c r="E582" s="3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6" x14ac:dyDescent="0.25">
      <c r="A583" s="1"/>
      <c r="B583" s="1"/>
      <c r="C583" s="1"/>
      <c r="D583" s="43"/>
      <c r="E583" s="3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6" x14ac:dyDescent="0.25">
      <c r="A584" s="1"/>
      <c r="B584" s="1"/>
      <c r="C584" s="1"/>
      <c r="D584" s="43"/>
      <c r="E584" s="3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6" x14ac:dyDescent="0.25">
      <c r="A585" s="1"/>
      <c r="B585" s="1"/>
      <c r="C585" s="1"/>
      <c r="D585" s="43"/>
      <c r="E585" s="3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6" x14ac:dyDescent="0.25">
      <c r="A586" s="1"/>
      <c r="B586" s="1"/>
      <c r="C586" s="1"/>
      <c r="D586" s="43"/>
      <c r="E586" s="3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6" x14ac:dyDescent="0.25">
      <c r="A587" s="1"/>
      <c r="B587" s="1"/>
      <c r="C587" s="1"/>
      <c r="D587" s="43"/>
      <c r="E587" s="3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6" x14ac:dyDescent="0.25">
      <c r="A588" s="1"/>
      <c r="B588" s="1"/>
      <c r="C588" s="1"/>
      <c r="D588" s="43"/>
      <c r="E588" s="3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6" x14ac:dyDescent="0.25">
      <c r="A589" s="1"/>
      <c r="B589" s="1"/>
      <c r="C589" s="1"/>
      <c r="D589" s="43"/>
      <c r="E589" s="3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6" x14ac:dyDescent="0.25">
      <c r="A590" s="1"/>
      <c r="B590" s="1"/>
      <c r="C590" s="1"/>
      <c r="D590" s="43"/>
      <c r="E590" s="3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6" x14ac:dyDescent="0.25">
      <c r="A591" s="1"/>
      <c r="B591" s="1"/>
      <c r="C591" s="1"/>
      <c r="D591" s="43"/>
      <c r="E591" s="3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6" x14ac:dyDescent="0.25">
      <c r="A592" s="1"/>
      <c r="B592" s="1"/>
      <c r="C592" s="1"/>
      <c r="D592" s="43"/>
      <c r="E592" s="3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6" x14ac:dyDescent="0.25">
      <c r="A593" s="1"/>
      <c r="B593" s="1"/>
      <c r="C593" s="1"/>
      <c r="D593" s="43"/>
      <c r="E593" s="3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6" x14ac:dyDescent="0.25">
      <c r="A594" s="1"/>
      <c r="B594" s="1"/>
      <c r="C594" s="1"/>
      <c r="D594" s="43"/>
      <c r="E594" s="3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6" x14ac:dyDescent="0.25">
      <c r="A595" s="1"/>
      <c r="B595" s="1"/>
      <c r="C595" s="1"/>
      <c r="D595" s="43"/>
      <c r="E595" s="3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6" x14ac:dyDescent="0.25">
      <c r="A596" s="1"/>
      <c r="B596" s="1"/>
      <c r="C596" s="1"/>
      <c r="D596" s="43"/>
      <c r="E596" s="3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6" x14ac:dyDescent="0.25">
      <c r="A597" s="1"/>
      <c r="B597" s="1"/>
      <c r="C597" s="1"/>
      <c r="D597" s="43"/>
      <c r="E597" s="3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6" x14ac:dyDescent="0.25">
      <c r="A598" s="1"/>
      <c r="B598" s="1"/>
      <c r="C598" s="1"/>
      <c r="D598" s="43"/>
      <c r="E598" s="3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6" x14ac:dyDescent="0.25">
      <c r="A599" s="1"/>
      <c r="B599" s="1"/>
      <c r="C599" s="1"/>
      <c r="D599" s="43"/>
      <c r="E599" s="3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6" x14ac:dyDescent="0.25">
      <c r="A600" s="1"/>
      <c r="B600" s="1"/>
      <c r="C600" s="1"/>
      <c r="D600" s="43"/>
      <c r="E600" s="3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6" x14ac:dyDescent="0.25">
      <c r="A601" s="1"/>
      <c r="B601" s="1"/>
      <c r="C601" s="1"/>
      <c r="D601" s="43"/>
      <c r="E601" s="3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6" x14ac:dyDescent="0.25">
      <c r="A602" s="1"/>
      <c r="B602" s="1"/>
      <c r="C602" s="1"/>
      <c r="D602" s="43"/>
      <c r="E602" s="3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6" x14ac:dyDescent="0.25">
      <c r="A603" s="1"/>
      <c r="B603" s="1"/>
      <c r="C603" s="1"/>
      <c r="D603" s="43"/>
      <c r="E603" s="3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6" x14ac:dyDescent="0.25">
      <c r="A604" s="1"/>
      <c r="B604" s="1"/>
      <c r="C604" s="1"/>
      <c r="D604" s="43"/>
      <c r="E604" s="3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6" x14ac:dyDescent="0.25">
      <c r="A605" s="1"/>
      <c r="B605" s="1"/>
      <c r="C605" s="1"/>
      <c r="D605" s="43"/>
      <c r="E605" s="3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6" x14ac:dyDescent="0.25">
      <c r="A606" s="1"/>
      <c r="B606" s="1"/>
      <c r="C606" s="1"/>
      <c r="D606" s="43"/>
      <c r="E606" s="3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6" x14ac:dyDescent="0.25">
      <c r="A607" s="1"/>
      <c r="B607" s="1"/>
      <c r="C607" s="1"/>
      <c r="D607" s="43"/>
      <c r="E607" s="3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6" x14ac:dyDescent="0.25">
      <c r="A608" s="1"/>
      <c r="B608" s="1"/>
      <c r="C608" s="1"/>
      <c r="D608" s="43"/>
      <c r="E608" s="3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6" x14ac:dyDescent="0.25">
      <c r="A609" s="1"/>
      <c r="B609" s="1"/>
      <c r="C609" s="1"/>
      <c r="D609" s="43"/>
      <c r="E609" s="3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6" x14ac:dyDescent="0.25">
      <c r="A610" s="1"/>
      <c r="B610" s="1"/>
      <c r="C610" s="1"/>
      <c r="D610" s="43"/>
      <c r="E610" s="3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6" x14ac:dyDescent="0.25">
      <c r="A611" s="1"/>
      <c r="B611" s="1"/>
      <c r="C611" s="1"/>
      <c r="D611" s="43"/>
      <c r="E611" s="3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6" x14ac:dyDescent="0.25">
      <c r="A612" s="1"/>
      <c r="B612" s="1"/>
      <c r="C612" s="1"/>
      <c r="D612" s="43"/>
      <c r="E612" s="3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6" x14ac:dyDescent="0.25">
      <c r="A613" s="1"/>
      <c r="B613" s="1"/>
      <c r="C613" s="1"/>
      <c r="D613" s="43"/>
      <c r="E613" s="3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6" x14ac:dyDescent="0.25">
      <c r="A614" s="1"/>
      <c r="B614" s="1"/>
      <c r="C614" s="1"/>
      <c r="D614" s="43"/>
      <c r="E614" s="3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6" x14ac:dyDescent="0.25">
      <c r="A615" s="1"/>
      <c r="B615" s="1"/>
      <c r="C615" s="1"/>
      <c r="D615" s="43"/>
      <c r="E615" s="3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6" x14ac:dyDescent="0.25">
      <c r="A616" s="1"/>
      <c r="B616" s="1"/>
      <c r="C616" s="1"/>
      <c r="D616" s="43"/>
      <c r="E616" s="3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6" x14ac:dyDescent="0.25">
      <c r="A617" s="1"/>
      <c r="B617" s="1"/>
      <c r="C617" s="1"/>
      <c r="D617" s="43"/>
      <c r="E617" s="3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6" x14ac:dyDescent="0.25">
      <c r="A618" s="1"/>
      <c r="B618" s="1"/>
      <c r="C618" s="1"/>
      <c r="D618" s="43"/>
      <c r="E618" s="3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6" x14ac:dyDescent="0.25">
      <c r="A619" s="1"/>
      <c r="B619" s="1"/>
      <c r="C619" s="1"/>
      <c r="D619" s="43"/>
      <c r="E619" s="3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6" x14ac:dyDescent="0.25">
      <c r="A620" s="1"/>
      <c r="B620" s="1"/>
      <c r="C620" s="1"/>
      <c r="D620" s="43"/>
      <c r="E620" s="3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6" x14ac:dyDescent="0.25">
      <c r="A621" s="1"/>
      <c r="B621" s="1"/>
      <c r="C621" s="1"/>
      <c r="D621" s="43"/>
      <c r="E621" s="3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6" x14ac:dyDescent="0.25">
      <c r="A622" s="1"/>
      <c r="B622" s="1"/>
      <c r="C622" s="1"/>
      <c r="D622" s="43"/>
      <c r="E622" s="3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6" x14ac:dyDescent="0.25">
      <c r="A623" s="1"/>
      <c r="B623" s="1"/>
      <c r="C623" s="1"/>
      <c r="D623" s="43"/>
      <c r="E623" s="3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6" x14ac:dyDescent="0.25">
      <c r="A624" s="1"/>
      <c r="B624" s="1"/>
      <c r="C624" s="1"/>
      <c r="D624" s="43"/>
      <c r="E624" s="3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6" x14ac:dyDescent="0.25">
      <c r="A625" s="1"/>
      <c r="B625" s="1"/>
      <c r="C625" s="1"/>
      <c r="D625" s="43"/>
      <c r="E625" s="3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6" x14ac:dyDescent="0.25">
      <c r="A626" s="1"/>
      <c r="B626" s="1"/>
      <c r="C626" s="1"/>
      <c r="D626" s="43"/>
      <c r="E626" s="3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6" x14ac:dyDescent="0.25">
      <c r="A627" s="1"/>
      <c r="B627" s="1"/>
      <c r="C627" s="1"/>
      <c r="D627" s="43"/>
      <c r="E627" s="3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6" x14ac:dyDescent="0.25">
      <c r="A628" s="1"/>
      <c r="B628" s="1"/>
      <c r="C628" s="1"/>
      <c r="D628" s="43"/>
      <c r="E628" s="3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6" x14ac:dyDescent="0.25">
      <c r="A629" s="1"/>
      <c r="B629" s="1"/>
      <c r="C629" s="1"/>
      <c r="D629" s="43"/>
      <c r="E629" s="3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6" x14ac:dyDescent="0.25">
      <c r="A630" s="1"/>
      <c r="B630" s="1"/>
      <c r="C630" s="1"/>
      <c r="D630" s="43"/>
      <c r="E630" s="3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6" x14ac:dyDescent="0.25">
      <c r="A631" s="1"/>
      <c r="B631" s="1"/>
      <c r="C631" s="1"/>
      <c r="D631" s="43"/>
      <c r="E631" s="3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6" x14ac:dyDescent="0.25">
      <c r="A632" s="1"/>
      <c r="B632" s="1"/>
      <c r="C632" s="1"/>
      <c r="D632" s="43"/>
      <c r="E632" s="3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6" x14ac:dyDescent="0.25">
      <c r="A633" s="1"/>
      <c r="B633" s="1"/>
      <c r="C633" s="1"/>
      <c r="D633" s="43"/>
      <c r="E633" s="3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6" x14ac:dyDescent="0.25">
      <c r="A634" s="1"/>
      <c r="B634" s="1"/>
      <c r="C634" s="1"/>
      <c r="D634" s="43"/>
      <c r="E634" s="3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6" x14ac:dyDescent="0.25">
      <c r="A635" s="1"/>
      <c r="B635" s="1"/>
      <c r="C635" s="1"/>
      <c r="D635" s="43"/>
      <c r="E635" s="3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6" x14ac:dyDescent="0.25">
      <c r="A636" s="1"/>
      <c r="B636" s="1"/>
      <c r="C636" s="1"/>
      <c r="D636" s="43"/>
      <c r="E636" s="3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6" x14ac:dyDescent="0.25">
      <c r="A637" s="1"/>
      <c r="B637" s="1"/>
      <c r="C637" s="1"/>
      <c r="D637" s="43"/>
      <c r="E637" s="3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6" x14ac:dyDescent="0.25">
      <c r="A638" s="1"/>
      <c r="B638" s="1"/>
      <c r="C638" s="1"/>
      <c r="D638" s="43"/>
      <c r="E638" s="3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6" x14ac:dyDescent="0.25">
      <c r="A639" s="1"/>
      <c r="B639" s="1"/>
      <c r="C639" s="1"/>
      <c r="D639" s="43"/>
      <c r="E639" s="3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6" x14ac:dyDescent="0.25">
      <c r="A640" s="1"/>
      <c r="B640" s="1"/>
      <c r="C640" s="1"/>
      <c r="D640" s="43"/>
      <c r="E640" s="3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6" x14ac:dyDescent="0.25">
      <c r="A641" s="1"/>
      <c r="B641" s="1"/>
      <c r="C641" s="1"/>
      <c r="D641" s="43"/>
      <c r="E641" s="3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6" x14ac:dyDescent="0.25">
      <c r="A642" s="1"/>
      <c r="B642" s="1"/>
      <c r="C642" s="1"/>
      <c r="D642" s="43"/>
      <c r="E642" s="3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6" x14ac:dyDescent="0.25">
      <c r="A643" s="1"/>
      <c r="B643" s="1"/>
      <c r="C643" s="1"/>
      <c r="D643" s="43"/>
      <c r="E643" s="3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6" x14ac:dyDescent="0.25">
      <c r="A644" s="1"/>
      <c r="B644" s="1"/>
      <c r="C644" s="1"/>
      <c r="D644" s="43"/>
      <c r="E644" s="3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6" x14ac:dyDescent="0.25">
      <c r="A645" s="1"/>
      <c r="B645" s="1"/>
      <c r="C645" s="1"/>
      <c r="D645" s="43"/>
      <c r="E645" s="3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6" x14ac:dyDescent="0.25">
      <c r="A646" s="1"/>
      <c r="B646" s="1"/>
      <c r="C646" s="1"/>
      <c r="D646" s="43"/>
      <c r="E646" s="3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6" x14ac:dyDescent="0.25">
      <c r="A647" s="1"/>
      <c r="B647" s="1"/>
      <c r="C647" s="1"/>
      <c r="D647" s="43"/>
      <c r="E647" s="3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6" x14ac:dyDescent="0.25">
      <c r="A648" s="1"/>
      <c r="B648" s="1"/>
      <c r="C648" s="1"/>
      <c r="D648" s="43"/>
      <c r="E648" s="3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6" x14ac:dyDescent="0.25">
      <c r="A649" s="1"/>
      <c r="B649" s="1"/>
      <c r="C649" s="1"/>
      <c r="D649" s="43"/>
      <c r="E649" s="3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6" x14ac:dyDescent="0.25">
      <c r="A650" s="1"/>
      <c r="B650" s="1"/>
      <c r="C650" s="1"/>
      <c r="D650" s="43"/>
      <c r="E650" s="3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6" x14ac:dyDescent="0.25">
      <c r="A651" s="1"/>
      <c r="B651" s="1"/>
      <c r="C651" s="1"/>
      <c r="D651" s="43"/>
      <c r="E651" s="3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6" x14ac:dyDescent="0.25">
      <c r="A652" s="1"/>
      <c r="B652" s="1"/>
      <c r="C652" s="1"/>
      <c r="D652" s="43"/>
      <c r="E652" s="3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6" x14ac:dyDescent="0.25">
      <c r="A653" s="1"/>
      <c r="B653" s="1"/>
      <c r="C653" s="1"/>
      <c r="D653" s="43"/>
      <c r="E653" s="3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6" x14ac:dyDescent="0.25">
      <c r="A654" s="1"/>
      <c r="B654" s="1"/>
      <c r="C654" s="1"/>
      <c r="D654" s="43"/>
      <c r="E654" s="3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6" x14ac:dyDescent="0.25">
      <c r="A655" s="1"/>
      <c r="B655" s="1"/>
      <c r="C655" s="1"/>
      <c r="D655" s="43"/>
      <c r="E655" s="3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6" x14ac:dyDescent="0.25">
      <c r="A656" s="1"/>
      <c r="B656" s="1"/>
      <c r="C656" s="1"/>
      <c r="D656" s="43"/>
      <c r="E656" s="3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6" x14ac:dyDescent="0.25">
      <c r="A657" s="1"/>
      <c r="B657" s="1"/>
      <c r="C657" s="1"/>
      <c r="D657" s="43"/>
      <c r="E657" s="3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6" x14ac:dyDescent="0.25">
      <c r="A658" s="1"/>
      <c r="B658" s="1"/>
      <c r="C658" s="1"/>
      <c r="D658" s="43"/>
      <c r="E658" s="3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6" x14ac:dyDescent="0.25">
      <c r="A659" s="1"/>
      <c r="B659" s="1"/>
      <c r="C659" s="1"/>
      <c r="D659" s="43"/>
      <c r="E659" s="3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6" x14ac:dyDescent="0.25">
      <c r="A660" s="1"/>
      <c r="B660" s="1"/>
      <c r="C660" s="1"/>
      <c r="D660" s="43"/>
      <c r="E660" s="3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6" x14ac:dyDescent="0.25">
      <c r="A661" s="1"/>
      <c r="B661" s="1"/>
      <c r="C661" s="1"/>
      <c r="D661" s="43"/>
      <c r="E661" s="3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6" x14ac:dyDescent="0.25">
      <c r="A662" s="1"/>
      <c r="B662" s="1"/>
      <c r="C662" s="1"/>
      <c r="D662" s="43"/>
      <c r="E662" s="3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6" x14ac:dyDescent="0.25">
      <c r="A663" s="1"/>
      <c r="B663" s="1"/>
      <c r="C663" s="1"/>
      <c r="D663" s="43"/>
      <c r="E663" s="3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6" x14ac:dyDescent="0.25">
      <c r="A664" s="1"/>
      <c r="B664" s="1"/>
      <c r="C664" s="1"/>
      <c r="D664" s="43"/>
      <c r="E664" s="3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6" x14ac:dyDescent="0.25">
      <c r="A665" s="1"/>
      <c r="B665" s="1"/>
      <c r="C665" s="1"/>
      <c r="D665" s="43"/>
      <c r="E665" s="3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6" x14ac:dyDescent="0.25">
      <c r="A666" s="1"/>
      <c r="B666" s="1"/>
      <c r="C666" s="1"/>
      <c r="D666" s="43"/>
      <c r="E666" s="3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6" x14ac:dyDescent="0.25">
      <c r="A667" s="1"/>
      <c r="B667" s="1"/>
      <c r="C667" s="1"/>
      <c r="D667" s="43"/>
      <c r="E667" s="3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6" x14ac:dyDescent="0.25">
      <c r="A668" s="1"/>
      <c r="B668" s="1"/>
      <c r="C668" s="1"/>
      <c r="D668" s="43"/>
      <c r="E668" s="3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6" x14ac:dyDescent="0.25">
      <c r="A669" s="1"/>
      <c r="B669" s="1"/>
      <c r="C669" s="1"/>
      <c r="D669" s="43"/>
      <c r="E669" s="3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6" x14ac:dyDescent="0.25">
      <c r="A670" s="1"/>
      <c r="B670" s="1"/>
      <c r="C670" s="1"/>
      <c r="D670" s="43"/>
      <c r="E670" s="3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6" x14ac:dyDescent="0.25">
      <c r="A671" s="1"/>
      <c r="B671" s="1"/>
      <c r="C671" s="1"/>
      <c r="D671" s="43"/>
      <c r="E671" s="3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6" x14ac:dyDescent="0.25">
      <c r="A672" s="1"/>
      <c r="B672" s="1"/>
      <c r="C672" s="1"/>
      <c r="D672" s="43"/>
      <c r="E672" s="3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6" x14ac:dyDescent="0.25">
      <c r="A673" s="1"/>
      <c r="B673" s="1"/>
      <c r="C673" s="1"/>
      <c r="D673" s="43"/>
      <c r="E673" s="3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6" x14ac:dyDescent="0.25">
      <c r="A674" s="1"/>
      <c r="B674" s="1"/>
      <c r="C674" s="1"/>
      <c r="D674" s="43"/>
      <c r="E674" s="3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6" x14ac:dyDescent="0.25">
      <c r="A675" s="1"/>
      <c r="B675" s="1"/>
      <c r="C675" s="1"/>
      <c r="D675" s="43"/>
      <c r="E675" s="3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6" x14ac:dyDescent="0.25">
      <c r="A676" s="1"/>
      <c r="B676" s="1"/>
      <c r="C676" s="1"/>
      <c r="D676" s="43"/>
      <c r="E676" s="3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6" x14ac:dyDescent="0.25">
      <c r="A677" s="1"/>
      <c r="B677" s="1"/>
      <c r="C677" s="1"/>
      <c r="D677" s="43"/>
      <c r="E677" s="3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6" x14ac:dyDescent="0.25">
      <c r="A678" s="1"/>
      <c r="B678" s="1"/>
      <c r="C678" s="1"/>
      <c r="D678" s="43"/>
      <c r="E678" s="3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6" x14ac:dyDescent="0.25">
      <c r="A679" s="1"/>
      <c r="B679" s="1"/>
      <c r="C679" s="1"/>
      <c r="D679" s="43"/>
      <c r="E679" s="3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6" x14ac:dyDescent="0.25">
      <c r="A680" s="1"/>
      <c r="B680" s="1"/>
      <c r="C680" s="1"/>
      <c r="D680" s="43"/>
      <c r="E680" s="3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6" x14ac:dyDescent="0.25">
      <c r="A681" s="1"/>
      <c r="B681" s="1"/>
      <c r="C681" s="1"/>
      <c r="D681" s="43"/>
      <c r="E681" s="3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6" x14ac:dyDescent="0.25">
      <c r="A682" s="1"/>
      <c r="B682" s="1"/>
      <c r="C682" s="1"/>
      <c r="D682" s="43"/>
      <c r="E682" s="3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6" x14ac:dyDescent="0.25">
      <c r="A683" s="1"/>
      <c r="B683" s="1"/>
      <c r="C683" s="1"/>
      <c r="D683" s="43"/>
      <c r="E683" s="3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6" x14ac:dyDescent="0.25">
      <c r="A684" s="1"/>
      <c r="B684" s="1"/>
      <c r="C684" s="1"/>
      <c r="D684" s="43"/>
      <c r="E684" s="3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6" x14ac:dyDescent="0.25">
      <c r="A685" s="1"/>
      <c r="B685" s="1"/>
      <c r="C685" s="1"/>
      <c r="D685" s="43"/>
      <c r="E685" s="3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6" x14ac:dyDescent="0.25">
      <c r="A686" s="1"/>
      <c r="B686" s="1"/>
      <c r="C686" s="1"/>
      <c r="D686" s="43"/>
      <c r="E686" s="3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6" x14ac:dyDescent="0.25">
      <c r="A687" s="1"/>
      <c r="B687" s="1"/>
      <c r="C687" s="1"/>
      <c r="D687" s="43"/>
      <c r="E687" s="3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6" x14ac:dyDescent="0.25">
      <c r="A688" s="1"/>
      <c r="B688" s="1"/>
      <c r="C688" s="1"/>
      <c r="D688" s="43"/>
      <c r="E688" s="3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6" x14ac:dyDescent="0.25">
      <c r="A689" s="1"/>
      <c r="B689" s="1"/>
      <c r="C689" s="1"/>
      <c r="D689" s="43"/>
      <c r="E689" s="3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6" x14ac:dyDescent="0.25">
      <c r="A690" s="1"/>
      <c r="B690" s="1"/>
      <c r="C690" s="1"/>
      <c r="D690" s="43"/>
      <c r="E690" s="3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6" x14ac:dyDescent="0.25">
      <c r="A691" s="1"/>
      <c r="B691" s="1"/>
      <c r="C691" s="1"/>
      <c r="D691" s="43"/>
      <c r="E691" s="3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6" x14ac:dyDescent="0.25">
      <c r="A692" s="1"/>
      <c r="B692" s="1"/>
      <c r="C692" s="1"/>
      <c r="D692" s="43"/>
      <c r="E692" s="3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6" x14ac:dyDescent="0.25">
      <c r="A693" s="1"/>
      <c r="B693" s="1"/>
      <c r="C693" s="1"/>
      <c r="D693" s="43"/>
      <c r="E693" s="3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6" x14ac:dyDescent="0.25">
      <c r="A694" s="1"/>
      <c r="B694" s="1"/>
      <c r="C694" s="1"/>
      <c r="D694" s="43"/>
      <c r="E694" s="3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6" x14ac:dyDescent="0.25">
      <c r="A695" s="1"/>
      <c r="B695" s="1"/>
      <c r="C695" s="1"/>
      <c r="D695" s="43"/>
      <c r="E695" s="3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6" x14ac:dyDescent="0.25">
      <c r="A696" s="1"/>
      <c r="B696" s="1"/>
      <c r="C696" s="1"/>
      <c r="D696" s="43"/>
      <c r="E696" s="3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6" x14ac:dyDescent="0.25">
      <c r="A697" s="1"/>
      <c r="B697" s="1"/>
      <c r="C697" s="1"/>
      <c r="D697" s="43"/>
      <c r="E697" s="3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6" x14ac:dyDescent="0.25">
      <c r="A698" s="1"/>
      <c r="B698" s="1"/>
      <c r="C698" s="1"/>
      <c r="D698" s="43"/>
      <c r="E698" s="3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6" x14ac:dyDescent="0.25">
      <c r="A699" s="1"/>
      <c r="B699" s="1"/>
      <c r="C699" s="1"/>
      <c r="D699" s="43"/>
      <c r="E699" s="3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6" x14ac:dyDescent="0.25">
      <c r="A700" s="1"/>
      <c r="B700" s="1"/>
      <c r="C700" s="1"/>
      <c r="D700" s="43"/>
      <c r="E700" s="3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6" x14ac:dyDescent="0.25">
      <c r="A701" s="1"/>
      <c r="B701" s="1"/>
      <c r="C701" s="1"/>
      <c r="D701" s="43"/>
      <c r="E701" s="3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6" x14ac:dyDescent="0.25">
      <c r="A702" s="1"/>
      <c r="B702" s="1"/>
      <c r="C702" s="1"/>
      <c r="D702" s="43"/>
      <c r="E702" s="3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6" x14ac:dyDescent="0.25">
      <c r="A703" s="1"/>
      <c r="B703" s="1"/>
      <c r="C703" s="1"/>
      <c r="D703" s="43"/>
      <c r="E703" s="3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6" x14ac:dyDescent="0.25">
      <c r="A704" s="1"/>
      <c r="B704" s="1"/>
      <c r="C704" s="1"/>
      <c r="D704" s="43"/>
      <c r="E704" s="3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6" x14ac:dyDescent="0.25">
      <c r="A705" s="1"/>
      <c r="B705" s="1"/>
      <c r="C705" s="1"/>
      <c r="D705" s="43"/>
      <c r="E705" s="3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6" x14ac:dyDescent="0.25">
      <c r="A706" s="1"/>
      <c r="B706" s="1"/>
      <c r="C706" s="1"/>
      <c r="D706" s="43"/>
      <c r="E706" s="3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6" x14ac:dyDescent="0.25">
      <c r="A707" s="1"/>
      <c r="B707" s="1"/>
      <c r="C707" s="1"/>
      <c r="D707" s="43"/>
      <c r="E707" s="3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6" x14ac:dyDescent="0.25">
      <c r="A708" s="1"/>
      <c r="B708" s="1"/>
      <c r="C708" s="1"/>
      <c r="D708" s="43"/>
      <c r="E708" s="3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6" x14ac:dyDescent="0.25">
      <c r="A709" s="1"/>
      <c r="B709" s="1"/>
      <c r="C709" s="1"/>
      <c r="D709" s="43"/>
      <c r="E709" s="3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6" x14ac:dyDescent="0.25">
      <c r="A710" s="1"/>
      <c r="B710" s="1"/>
      <c r="C710" s="1"/>
      <c r="D710" s="43"/>
      <c r="E710" s="3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6" x14ac:dyDescent="0.25">
      <c r="A711" s="1"/>
      <c r="B711" s="1"/>
      <c r="C711" s="1"/>
      <c r="D711" s="43"/>
      <c r="E711" s="3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6" x14ac:dyDescent="0.25">
      <c r="A712" s="1"/>
      <c r="B712" s="1"/>
      <c r="C712" s="1"/>
      <c r="D712" s="43"/>
      <c r="E712" s="3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6" x14ac:dyDescent="0.25">
      <c r="A713" s="1"/>
      <c r="B713" s="1"/>
      <c r="C713" s="1"/>
      <c r="D713" s="43"/>
      <c r="E713" s="3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6" x14ac:dyDescent="0.25">
      <c r="A714" s="1"/>
      <c r="B714" s="1"/>
      <c r="C714" s="1"/>
      <c r="D714" s="43"/>
      <c r="E714" s="3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6" x14ac:dyDescent="0.25">
      <c r="A715" s="1"/>
      <c r="B715" s="1"/>
      <c r="C715" s="1"/>
      <c r="D715" s="43"/>
      <c r="E715" s="3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6" x14ac:dyDescent="0.25">
      <c r="A716" s="1"/>
      <c r="B716" s="1"/>
      <c r="C716" s="1"/>
      <c r="D716" s="43"/>
      <c r="E716" s="3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6" x14ac:dyDescent="0.25">
      <c r="A717" s="1"/>
      <c r="B717" s="1"/>
      <c r="C717" s="1"/>
      <c r="D717" s="43"/>
      <c r="E717" s="3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6" x14ac:dyDescent="0.25">
      <c r="A718" s="1"/>
      <c r="B718" s="1"/>
      <c r="C718" s="1"/>
      <c r="D718" s="43"/>
      <c r="E718" s="3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6" x14ac:dyDescent="0.25">
      <c r="A719" s="1"/>
      <c r="B719" s="1"/>
      <c r="C719" s="1"/>
      <c r="D719" s="43"/>
      <c r="E719" s="3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6" x14ac:dyDescent="0.25">
      <c r="A720" s="1"/>
      <c r="B720" s="1"/>
      <c r="C720" s="1"/>
      <c r="D720" s="43"/>
      <c r="E720" s="3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6" x14ac:dyDescent="0.25">
      <c r="A721" s="1"/>
      <c r="B721" s="1"/>
      <c r="C721" s="1"/>
      <c r="D721" s="43"/>
      <c r="E721" s="3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6" x14ac:dyDescent="0.25">
      <c r="A722" s="1"/>
      <c r="B722" s="1"/>
      <c r="C722" s="1"/>
      <c r="D722" s="43"/>
      <c r="E722" s="3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6" x14ac:dyDescent="0.25">
      <c r="A723" s="1"/>
      <c r="B723" s="1"/>
      <c r="C723" s="1"/>
      <c r="D723" s="43"/>
      <c r="E723" s="3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6" x14ac:dyDescent="0.25">
      <c r="A724" s="1"/>
      <c r="B724" s="1"/>
      <c r="C724" s="1"/>
      <c r="D724" s="43"/>
      <c r="E724" s="3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6" x14ac:dyDescent="0.25">
      <c r="A725" s="1"/>
      <c r="B725" s="1"/>
      <c r="C725" s="1"/>
      <c r="D725" s="43"/>
      <c r="E725" s="3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6" x14ac:dyDescent="0.25">
      <c r="A726" s="1"/>
      <c r="B726" s="1"/>
      <c r="C726" s="1"/>
      <c r="D726" s="43"/>
      <c r="E726" s="3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6" x14ac:dyDescent="0.25">
      <c r="A727" s="1"/>
      <c r="B727" s="1"/>
      <c r="C727" s="1"/>
      <c r="D727" s="43"/>
      <c r="E727" s="3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6" x14ac:dyDescent="0.25">
      <c r="A728" s="1"/>
      <c r="B728" s="1"/>
      <c r="C728" s="1"/>
      <c r="D728" s="43"/>
      <c r="E728" s="3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6" x14ac:dyDescent="0.25">
      <c r="A729" s="1"/>
      <c r="B729" s="1"/>
      <c r="C729" s="1"/>
      <c r="D729" s="43"/>
      <c r="E729" s="3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6" x14ac:dyDescent="0.25">
      <c r="A730" s="1"/>
      <c r="B730" s="1"/>
      <c r="C730" s="1"/>
      <c r="D730" s="43"/>
      <c r="E730" s="3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6" x14ac:dyDescent="0.25">
      <c r="A731" s="1"/>
      <c r="B731" s="1"/>
      <c r="C731" s="1"/>
      <c r="D731" s="43"/>
      <c r="E731" s="3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6" x14ac:dyDescent="0.25">
      <c r="A732" s="1"/>
      <c r="B732" s="1"/>
      <c r="C732" s="1"/>
      <c r="D732" s="43"/>
      <c r="E732" s="3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6" x14ac:dyDescent="0.25">
      <c r="A733" s="1"/>
      <c r="B733" s="1"/>
      <c r="C733" s="1"/>
      <c r="D733" s="43"/>
      <c r="E733" s="3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6" x14ac:dyDescent="0.25">
      <c r="A734" s="1"/>
      <c r="B734" s="1"/>
      <c r="C734" s="1"/>
      <c r="D734" s="43"/>
      <c r="E734" s="3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6" x14ac:dyDescent="0.25">
      <c r="A735" s="1"/>
      <c r="B735" s="1"/>
      <c r="C735" s="1"/>
      <c r="D735" s="43"/>
      <c r="E735" s="3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6" x14ac:dyDescent="0.25">
      <c r="A736" s="1"/>
      <c r="B736" s="1"/>
      <c r="C736" s="1"/>
      <c r="D736" s="43"/>
      <c r="E736" s="3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6" x14ac:dyDescent="0.25">
      <c r="A737" s="1"/>
      <c r="B737" s="1"/>
      <c r="C737" s="1"/>
      <c r="D737" s="43"/>
      <c r="E737" s="3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6" x14ac:dyDescent="0.25">
      <c r="A738" s="1"/>
      <c r="B738" s="1"/>
      <c r="C738" s="1"/>
      <c r="D738" s="43"/>
      <c r="E738" s="3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6" x14ac:dyDescent="0.25">
      <c r="A739" s="1"/>
      <c r="B739" s="1"/>
      <c r="C739" s="1"/>
      <c r="D739" s="43"/>
      <c r="E739" s="3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6" x14ac:dyDescent="0.25">
      <c r="A740" s="1"/>
      <c r="B740" s="1"/>
      <c r="C740" s="1"/>
      <c r="D740" s="43"/>
      <c r="E740" s="3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6" x14ac:dyDescent="0.25">
      <c r="A741" s="1"/>
      <c r="B741" s="1"/>
      <c r="C741" s="1"/>
      <c r="D741" s="43"/>
      <c r="E741" s="3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6" x14ac:dyDescent="0.25">
      <c r="A742" s="1"/>
      <c r="B742" s="1"/>
      <c r="C742" s="1"/>
      <c r="D742" s="43"/>
      <c r="E742" s="3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6" x14ac:dyDescent="0.25">
      <c r="A743" s="1"/>
      <c r="B743" s="1"/>
      <c r="C743" s="1"/>
      <c r="D743" s="43"/>
      <c r="E743" s="3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6" x14ac:dyDescent="0.25">
      <c r="A744" s="1"/>
      <c r="B744" s="1"/>
      <c r="C744" s="1"/>
      <c r="D744" s="43"/>
      <c r="E744" s="3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6" x14ac:dyDescent="0.25">
      <c r="A745" s="1"/>
      <c r="B745" s="1"/>
      <c r="C745" s="1"/>
      <c r="D745" s="43"/>
      <c r="E745" s="3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6" x14ac:dyDescent="0.25">
      <c r="A746" s="1"/>
      <c r="B746" s="1"/>
      <c r="C746" s="1"/>
      <c r="D746" s="43"/>
      <c r="E746" s="3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6" x14ac:dyDescent="0.25">
      <c r="A747" s="1"/>
      <c r="B747" s="1"/>
      <c r="C747" s="1"/>
      <c r="D747" s="43"/>
      <c r="E747" s="3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6" x14ac:dyDescent="0.25">
      <c r="A748" s="1"/>
      <c r="B748" s="1"/>
      <c r="C748" s="1"/>
      <c r="D748" s="43"/>
      <c r="E748" s="3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6" x14ac:dyDescent="0.25">
      <c r="A749" s="1"/>
      <c r="B749" s="1"/>
      <c r="C749" s="1"/>
      <c r="D749" s="43"/>
      <c r="E749" s="3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6" x14ac:dyDescent="0.25">
      <c r="A750" s="1"/>
      <c r="B750" s="1"/>
      <c r="C750" s="1"/>
      <c r="D750" s="43"/>
      <c r="E750" s="3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6" x14ac:dyDescent="0.25">
      <c r="A751" s="1"/>
      <c r="B751" s="1"/>
      <c r="C751" s="1"/>
      <c r="D751" s="43"/>
      <c r="E751" s="3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6" x14ac:dyDescent="0.25">
      <c r="A752" s="1"/>
      <c r="B752" s="1"/>
      <c r="C752" s="1"/>
      <c r="D752" s="43"/>
      <c r="E752" s="3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6" x14ac:dyDescent="0.25">
      <c r="A753" s="1"/>
      <c r="B753" s="1"/>
      <c r="C753" s="1"/>
      <c r="D753" s="43"/>
      <c r="E753" s="3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6" x14ac:dyDescent="0.25">
      <c r="A754" s="1"/>
      <c r="B754" s="1"/>
      <c r="C754" s="1"/>
      <c r="D754" s="43"/>
      <c r="E754" s="3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6" x14ac:dyDescent="0.25">
      <c r="A755" s="1"/>
      <c r="B755" s="1"/>
      <c r="C755" s="1"/>
      <c r="D755" s="43"/>
      <c r="E755" s="3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6" x14ac:dyDescent="0.25">
      <c r="A756" s="1"/>
      <c r="B756" s="1"/>
      <c r="C756" s="1"/>
      <c r="D756" s="43"/>
      <c r="E756" s="3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6" x14ac:dyDescent="0.25">
      <c r="A757" s="1"/>
      <c r="B757" s="1"/>
      <c r="C757" s="1"/>
      <c r="D757" s="43"/>
      <c r="E757" s="3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6" x14ac:dyDescent="0.25">
      <c r="A758" s="1"/>
      <c r="B758" s="1"/>
      <c r="C758" s="1"/>
      <c r="D758" s="43"/>
      <c r="E758" s="3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6" x14ac:dyDescent="0.25">
      <c r="A759" s="1"/>
      <c r="B759" s="1"/>
      <c r="C759" s="1"/>
      <c r="D759" s="43"/>
      <c r="E759" s="3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6" x14ac:dyDescent="0.25">
      <c r="A760" s="1"/>
      <c r="B760" s="1"/>
      <c r="C760" s="1"/>
      <c r="D760" s="43"/>
      <c r="E760" s="3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6" x14ac:dyDescent="0.25">
      <c r="A761" s="1"/>
      <c r="B761" s="1"/>
      <c r="C761" s="1"/>
      <c r="D761" s="43"/>
      <c r="E761" s="3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6" x14ac:dyDescent="0.25">
      <c r="A762" s="1"/>
      <c r="B762" s="1"/>
      <c r="C762" s="1"/>
      <c r="D762" s="43"/>
      <c r="E762" s="3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6" x14ac:dyDescent="0.25">
      <c r="A763" s="1"/>
      <c r="B763" s="1"/>
      <c r="C763" s="1"/>
      <c r="D763" s="43"/>
      <c r="E763" s="3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6" x14ac:dyDescent="0.25">
      <c r="A764" s="1"/>
      <c r="B764" s="1"/>
      <c r="C764" s="1"/>
      <c r="D764" s="43"/>
      <c r="E764" s="3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6" x14ac:dyDescent="0.25">
      <c r="A765" s="1"/>
      <c r="B765" s="1"/>
      <c r="C765" s="1"/>
      <c r="D765" s="43"/>
      <c r="E765" s="3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6" x14ac:dyDescent="0.25">
      <c r="A766" s="1"/>
      <c r="B766" s="1"/>
      <c r="C766" s="1"/>
      <c r="D766" s="43"/>
      <c r="E766" s="3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6" x14ac:dyDescent="0.25">
      <c r="A767" s="1"/>
      <c r="B767" s="1"/>
      <c r="C767" s="1"/>
      <c r="D767" s="43"/>
      <c r="E767" s="3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6" x14ac:dyDescent="0.25">
      <c r="A768" s="1"/>
      <c r="B768" s="1"/>
      <c r="C768" s="1"/>
      <c r="D768" s="43"/>
      <c r="E768" s="3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6" x14ac:dyDescent="0.25">
      <c r="A769" s="1"/>
      <c r="B769" s="1"/>
      <c r="C769" s="1"/>
      <c r="D769" s="43"/>
      <c r="E769" s="3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6" x14ac:dyDescent="0.25">
      <c r="A770" s="1"/>
      <c r="B770" s="1"/>
      <c r="C770" s="1"/>
      <c r="D770" s="43"/>
      <c r="E770" s="3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6" x14ac:dyDescent="0.25">
      <c r="A771" s="1"/>
      <c r="B771" s="1"/>
      <c r="C771" s="1"/>
      <c r="D771" s="43"/>
      <c r="E771" s="3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6" x14ac:dyDescent="0.25">
      <c r="A772" s="1"/>
      <c r="B772" s="1"/>
      <c r="C772" s="1"/>
      <c r="D772" s="43"/>
      <c r="E772" s="3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6" x14ac:dyDescent="0.25">
      <c r="A773" s="1"/>
      <c r="B773" s="1"/>
      <c r="C773" s="1"/>
      <c r="D773" s="43"/>
      <c r="E773" s="3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6" x14ac:dyDescent="0.25">
      <c r="A774" s="1"/>
      <c r="B774" s="1"/>
      <c r="C774" s="1"/>
      <c r="D774" s="43"/>
      <c r="E774" s="3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6" x14ac:dyDescent="0.25">
      <c r="A775" s="1"/>
      <c r="B775" s="1"/>
      <c r="C775" s="1"/>
      <c r="D775" s="43"/>
      <c r="E775" s="3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6" x14ac:dyDescent="0.25">
      <c r="A776" s="1"/>
      <c r="B776" s="1"/>
      <c r="C776" s="1"/>
      <c r="D776" s="43"/>
      <c r="E776" s="3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6" x14ac:dyDescent="0.25">
      <c r="A777" s="1"/>
      <c r="B777" s="1"/>
      <c r="C777" s="1"/>
      <c r="D777" s="43"/>
      <c r="E777" s="3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6" x14ac:dyDescent="0.25">
      <c r="A778" s="1"/>
      <c r="B778" s="1"/>
      <c r="C778" s="1"/>
      <c r="D778" s="43"/>
      <c r="E778" s="3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6" x14ac:dyDescent="0.25">
      <c r="A779" s="1"/>
      <c r="B779" s="1"/>
      <c r="C779" s="1"/>
      <c r="D779" s="43"/>
      <c r="E779" s="3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6" x14ac:dyDescent="0.25">
      <c r="A780" s="1"/>
      <c r="B780" s="1"/>
      <c r="C780" s="1"/>
      <c r="D780" s="43"/>
      <c r="E780" s="3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6" x14ac:dyDescent="0.25">
      <c r="A781" s="1"/>
      <c r="B781" s="1"/>
      <c r="C781" s="1"/>
      <c r="D781" s="43"/>
      <c r="E781" s="3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6" x14ac:dyDescent="0.25">
      <c r="A782" s="1"/>
      <c r="B782" s="1"/>
      <c r="C782" s="1"/>
      <c r="D782" s="43"/>
      <c r="E782" s="3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6" x14ac:dyDescent="0.25">
      <c r="A783" s="1"/>
      <c r="B783" s="1"/>
      <c r="C783" s="1"/>
      <c r="D783" s="43"/>
      <c r="E783" s="3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6" x14ac:dyDescent="0.25">
      <c r="A784" s="1"/>
      <c r="B784" s="1"/>
      <c r="C784" s="1"/>
      <c r="D784" s="43"/>
      <c r="E784" s="3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6" x14ac:dyDescent="0.25">
      <c r="A785" s="1"/>
      <c r="B785" s="1"/>
      <c r="C785" s="1"/>
      <c r="D785" s="43"/>
      <c r="E785" s="3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6" x14ac:dyDescent="0.25">
      <c r="A786" s="1"/>
      <c r="B786" s="1"/>
      <c r="C786" s="1"/>
      <c r="D786" s="43"/>
      <c r="E786" s="3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6" x14ac:dyDescent="0.25">
      <c r="A787" s="1"/>
      <c r="B787" s="1"/>
      <c r="C787" s="1"/>
      <c r="D787" s="43"/>
      <c r="E787" s="3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6" x14ac:dyDescent="0.25">
      <c r="A788" s="1"/>
      <c r="B788" s="1"/>
      <c r="C788" s="1"/>
      <c r="D788" s="43"/>
      <c r="E788" s="3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6" x14ac:dyDescent="0.25">
      <c r="A789" s="1"/>
      <c r="B789" s="1"/>
      <c r="C789" s="1"/>
      <c r="D789" s="43"/>
      <c r="E789" s="3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6" x14ac:dyDescent="0.25">
      <c r="A790" s="1"/>
      <c r="B790" s="1"/>
      <c r="C790" s="1"/>
      <c r="D790" s="43"/>
      <c r="E790" s="3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6" x14ac:dyDescent="0.25">
      <c r="A791" s="1"/>
      <c r="B791" s="1"/>
      <c r="C791" s="1"/>
      <c r="D791" s="43"/>
      <c r="E791" s="3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6" x14ac:dyDescent="0.25">
      <c r="A792" s="1"/>
      <c r="B792" s="1"/>
      <c r="C792" s="1"/>
      <c r="D792" s="43"/>
      <c r="E792" s="3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6" x14ac:dyDescent="0.25">
      <c r="A793" s="1"/>
      <c r="B793" s="1"/>
      <c r="C793" s="1"/>
      <c r="D793" s="43"/>
      <c r="E793" s="3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6" x14ac:dyDescent="0.25">
      <c r="A794" s="1"/>
      <c r="B794" s="1"/>
      <c r="C794" s="1"/>
      <c r="D794" s="43"/>
      <c r="E794" s="3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6" x14ac:dyDescent="0.25">
      <c r="A795" s="1"/>
      <c r="B795" s="1"/>
      <c r="C795" s="1"/>
      <c r="D795" s="43"/>
      <c r="E795" s="3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6" x14ac:dyDescent="0.25">
      <c r="A796" s="1"/>
      <c r="B796" s="1"/>
      <c r="C796" s="1"/>
      <c r="D796" s="43"/>
      <c r="E796" s="3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6" x14ac:dyDescent="0.25">
      <c r="A797" s="1"/>
      <c r="B797" s="1"/>
      <c r="C797" s="1"/>
      <c r="D797" s="43"/>
      <c r="E797" s="3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6" x14ac:dyDescent="0.25">
      <c r="A798" s="1"/>
      <c r="B798" s="1"/>
      <c r="C798" s="1"/>
      <c r="D798" s="43"/>
      <c r="E798" s="3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6" x14ac:dyDescent="0.25">
      <c r="A799" s="1"/>
      <c r="B799" s="1"/>
      <c r="C799" s="1"/>
      <c r="D799" s="43"/>
      <c r="E799" s="3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6" x14ac:dyDescent="0.25">
      <c r="A800" s="1"/>
      <c r="B800" s="1"/>
      <c r="C800" s="1"/>
      <c r="D800" s="43"/>
      <c r="E800" s="3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6" x14ac:dyDescent="0.25">
      <c r="A801" s="1"/>
      <c r="B801" s="1"/>
      <c r="C801" s="1"/>
      <c r="D801" s="43"/>
      <c r="E801" s="3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6" x14ac:dyDescent="0.25">
      <c r="A802" s="1"/>
      <c r="B802" s="1"/>
      <c r="C802" s="1"/>
      <c r="D802" s="43"/>
      <c r="E802" s="3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6" x14ac:dyDescent="0.25">
      <c r="A803" s="1"/>
      <c r="B803" s="1"/>
      <c r="C803" s="1"/>
      <c r="D803" s="43"/>
      <c r="E803" s="3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6" x14ac:dyDescent="0.25">
      <c r="A804" s="1"/>
      <c r="B804" s="1"/>
      <c r="C804" s="1"/>
      <c r="D804" s="43"/>
      <c r="E804" s="3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6" x14ac:dyDescent="0.25">
      <c r="A805" s="1"/>
      <c r="B805" s="1"/>
      <c r="C805" s="1"/>
      <c r="D805" s="43"/>
      <c r="E805" s="3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6" x14ac:dyDescent="0.25">
      <c r="A806" s="1"/>
      <c r="B806" s="1"/>
      <c r="C806" s="1"/>
      <c r="D806" s="43"/>
      <c r="E806" s="3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6" x14ac:dyDescent="0.25">
      <c r="A807" s="1"/>
      <c r="B807" s="1"/>
      <c r="C807" s="1"/>
      <c r="D807" s="43"/>
      <c r="E807" s="3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6" x14ac:dyDescent="0.25">
      <c r="A808" s="1"/>
      <c r="B808" s="1"/>
      <c r="C808" s="1"/>
      <c r="D808" s="43"/>
      <c r="E808" s="3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6" x14ac:dyDescent="0.25">
      <c r="A809" s="1"/>
      <c r="B809" s="1"/>
      <c r="C809" s="1"/>
      <c r="D809" s="43"/>
      <c r="E809" s="3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6" x14ac:dyDescent="0.25">
      <c r="A810" s="1"/>
      <c r="B810" s="1"/>
      <c r="C810" s="1"/>
      <c r="D810" s="43"/>
      <c r="E810" s="3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6" x14ac:dyDescent="0.25">
      <c r="A811" s="1"/>
      <c r="B811" s="1"/>
      <c r="C811" s="1"/>
      <c r="D811" s="43"/>
      <c r="E811" s="3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6" x14ac:dyDescent="0.25">
      <c r="A812" s="1"/>
      <c r="B812" s="1"/>
      <c r="C812" s="1"/>
      <c r="D812" s="43"/>
      <c r="E812" s="3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6" x14ac:dyDescent="0.25">
      <c r="A813" s="1"/>
      <c r="B813" s="1"/>
      <c r="C813" s="1"/>
      <c r="D813" s="43"/>
      <c r="E813" s="3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6" x14ac:dyDescent="0.25">
      <c r="A814" s="1"/>
      <c r="B814" s="1"/>
      <c r="C814" s="1"/>
      <c r="D814" s="43"/>
      <c r="E814" s="3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6" x14ac:dyDescent="0.25">
      <c r="A815" s="1"/>
      <c r="B815" s="1"/>
      <c r="C815" s="1"/>
      <c r="D815" s="43"/>
      <c r="E815" s="3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6" x14ac:dyDescent="0.25">
      <c r="A816" s="1"/>
      <c r="B816" s="1"/>
      <c r="C816" s="1"/>
      <c r="D816" s="43"/>
      <c r="E816" s="3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6" x14ac:dyDescent="0.25">
      <c r="A817" s="1"/>
      <c r="B817" s="1"/>
      <c r="C817" s="1"/>
      <c r="D817" s="43"/>
      <c r="E817" s="3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6" x14ac:dyDescent="0.25">
      <c r="A818" s="1"/>
      <c r="B818" s="1"/>
      <c r="C818" s="1"/>
      <c r="D818" s="43"/>
      <c r="E818" s="3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6" x14ac:dyDescent="0.25">
      <c r="A819" s="1"/>
      <c r="B819" s="1"/>
      <c r="C819" s="1"/>
      <c r="D819" s="43"/>
      <c r="E819" s="3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6" x14ac:dyDescent="0.25">
      <c r="A820" s="1"/>
      <c r="B820" s="1"/>
      <c r="C820" s="1"/>
      <c r="D820" s="43"/>
      <c r="E820" s="3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6" x14ac:dyDescent="0.25">
      <c r="A821" s="1"/>
      <c r="B821" s="1"/>
      <c r="C821" s="1"/>
      <c r="D821" s="43"/>
      <c r="E821" s="3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6" x14ac:dyDescent="0.25">
      <c r="A822" s="1"/>
      <c r="B822" s="1"/>
      <c r="C822" s="1"/>
      <c r="D822" s="43"/>
      <c r="E822" s="3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6" x14ac:dyDescent="0.25">
      <c r="A823" s="1"/>
      <c r="B823" s="1"/>
      <c r="C823" s="1"/>
      <c r="D823" s="43"/>
      <c r="E823" s="3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6" x14ac:dyDescent="0.25">
      <c r="A824" s="1"/>
      <c r="B824" s="1"/>
      <c r="C824" s="1"/>
      <c r="D824" s="43"/>
      <c r="E824" s="3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6" x14ac:dyDescent="0.25">
      <c r="A825" s="1"/>
      <c r="B825" s="1"/>
      <c r="C825" s="1"/>
      <c r="D825" s="43"/>
      <c r="E825" s="3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6" x14ac:dyDescent="0.25">
      <c r="A826" s="1"/>
      <c r="B826" s="1"/>
      <c r="C826" s="1"/>
      <c r="D826" s="43"/>
      <c r="E826" s="3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6" x14ac:dyDescent="0.25">
      <c r="A827" s="1"/>
      <c r="B827" s="1"/>
      <c r="C827" s="1"/>
      <c r="D827" s="43"/>
      <c r="E827" s="3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6" x14ac:dyDescent="0.25">
      <c r="A828" s="1"/>
      <c r="B828" s="1"/>
      <c r="C828" s="1"/>
      <c r="D828" s="43"/>
      <c r="E828" s="3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6" x14ac:dyDescent="0.25">
      <c r="A829" s="1"/>
      <c r="B829" s="1"/>
      <c r="C829" s="1"/>
      <c r="D829" s="43"/>
      <c r="E829" s="3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6" x14ac:dyDescent="0.25">
      <c r="A830" s="1"/>
      <c r="B830" s="1"/>
      <c r="C830" s="1"/>
      <c r="D830" s="43"/>
      <c r="E830" s="3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6" x14ac:dyDescent="0.25">
      <c r="A831" s="1"/>
      <c r="B831" s="1"/>
      <c r="C831" s="1"/>
      <c r="D831" s="43"/>
      <c r="E831" s="3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6" x14ac:dyDescent="0.25">
      <c r="A832" s="1"/>
      <c r="B832" s="1"/>
      <c r="C832" s="1"/>
      <c r="D832" s="43"/>
      <c r="E832" s="3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6" x14ac:dyDescent="0.25">
      <c r="A833" s="1"/>
      <c r="B833" s="1"/>
      <c r="C833" s="1"/>
      <c r="D833" s="43"/>
      <c r="E833" s="3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6" x14ac:dyDescent="0.25">
      <c r="A834" s="1"/>
      <c r="B834" s="1"/>
      <c r="C834" s="1"/>
      <c r="D834" s="43"/>
      <c r="E834" s="3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6" x14ac:dyDescent="0.25">
      <c r="A835" s="1"/>
      <c r="B835" s="1"/>
      <c r="C835" s="1"/>
      <c r="D835" s="43"/>
      <c r="E835" s="3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6" x14ac:dyDescent="0.25">
      <c r="A836" s="1"/>
      <c r="B836" s="1"/>
      <c r="C836" s="1"/>
      <c r="D836" s="43"/>
      <c r="E836" s="3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6" x14ac:dyDescent="0.25">
      <c r="A837" s="1"/>
      <c r="B837" s="1"/>
      <c r="C837" s="1"/>
      <c r="D837" s="43"/>
      <c r="E837" s="3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6" x14ac:dyDescent="0.25">
      <c r="A838" s="1"/>
      <c r="B838" s="1"/>
      <c r="C838" s="1"/>
      <c r="D838" s="43"/>
      <c r="E838" s="3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6" x14ac:dyDescent="0.25">
      <c r="A839" s="1"/>
      <c r="B839" s="1"/>
      <c r="C839" s="1"/>
      <c r="D839" s="43"/>
      <c r="E839" s="3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6" x14ac:dyDescent="0.25">
      <c r="A840" s="1"/>
      <c r="B840" s="1"/>
      <c r="C840" s="1"/>
      <c r="D840" s="43"/>
      <c r="E840" s="3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6" x14ac:dyDescent="0.25">
      <c r="A841" s="1"/>
      <c r="B841" s="1"/>
      <c r="C841" s="1"/>
      <c r="D841" s="43"/>
      <c r="E841" s="3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6" x14ac:dyDescent="0.25">
      <c r="A842" s="1"/>
      <c r="B842" s="1"/>
      <c r="C842" s="1"/>
      <c r="D842" s="43"/>
      <c r="E842" s="3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6" x14ac:dyDescent="0.25">
      <c r="A843" s="1"/>
      <c r="B843" s="1"/>
      <c r="C843" s="1"/>
      <c r="D843" s="43"/>
      <c r="E843" s="3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6" x14ac:dyDescent="0.25">
      <c r="A844" s="1"/>
      <c r="B844" s="1"/>
      <c r="C844" s="1"/>
      <c r="D844" s="43"/>
      <c r="E844" s="3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6" x14ac:dyDescent="0.25">
      <c r="A845" s="1"/>
      <c r="B845" s="1"/>
      <c r="C845" s="1"/>
      <c r="D845" s="43"/>
      <c r="E845" s="3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6" x14ac:dyDescent="0.25">
      <c r="A846" s="1"/>
      <c r="B846" s="1"/>
      <c r="C846" s="1"/>
      <c r="D846" s="43"/>
      <c r="E846" s="3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6" x14ac:dyDescent="0.25">
      <c r="A847" s="1"/>
      <c r="B847" s="1"/>
      <c r="C847" s="1"/>
      <c r="D847" s="43"/>
      <c r="E847" s="3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6" x14ac:dyDescent="0.25">
      <c r="A848" s="1"/>
      <c r="B848" s="1"/>
      <c r="C848" s="1"/>
      <c r="D848" s="43"/>
      <c r="E848" s="3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6" x14ac:dyDescent="0.25">
      <c r="A849" s="1"/>
      <c r="B849" s="1"/>
      <c r="C849" s="1"/>
      <c r="D849" s="43"/>
      <c r="E849" s="3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6" x14ac:dyDescent="0.25">
      <c r="A850" s="1"/>
      <c r="B850" s="1"/>
      <c r="C850" s="1"/>
      <c r="D850" s="43"/>
      <c r="E850" s="3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6" x14ac:dyDescent="0.25">
      <c r="A851" s="1"/>
      <c r="B851" s="1"/>
      <c r="C851" s="1"/>
      <c r="D851" s="43"/>
      <c r="E851" s="3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6" x14ac:dyDescent="0.25">
      <c r="A852" s="1"/>
      <c r="B852" s="1"/>
      <c r="C852" s="1"/>
      <c r="D852" s="43"/>
      <c r="E852" s="3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6" x14ac:dyDescent="0.25">
      <c r="A853" s="1"/>
      <c r="B853" s="1"/>
      <c r="C853" s="1"/>
      <c r="D853" s="43"/>
      <c r="E853" s="3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6" x14ac:dyDescent="0.25">
      <c r="A854" s="1"/>
      <c r="B854" s="1"/>
      <c r="C854" s="1"/>
      <c r="D854" s="43"/>
      <c r="E854" s="3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6" x14ac:dyDescent="0.25">
      <c r="A855" s="1"/>
      <c r="B855" s="1"/>
      <c r="C855" s="1"/>
      <c r="D855" s="43"/>
      <c r="E855" s="3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6" x14ac:dyDescent="0.25">
      <c r="A856" s="1"/>
      <c r="B856" s="1"/>
      <c r="C856" s="1"/>
      <c r="D856" s="43"/>
      <c r="E856" s="3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6" x14ac:dyDescent="0.25">
      <c r="A857" s="1"/>
      <c r="B857" s="1"/>
      <c r="C857" s="1"/>
      <c r="D857" s="43"/>
      <c r="E857" s="3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6" x14ac:dyDescent="0.25">
      <c r="A858" s="1"/>
      <c r="B858" s="1"/>
      <c r="C858" s="1"/>
      <c r="D858" s="43"/>
      <c r="E858" s="3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6" x14ac:dyDescent="0.25">
      <c r="A859" s="1"/>
      <c r="B859" s="1"/>
      <c r="C859" s="1"/>
      <c r="D859" s="43"/>
      <c r="E859" s="3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6" x14ac:dyDescent="0.25">
      <c r="A860" s="1"/>
      <c r="B860" s="1"/>
      <c r="C860" s="1"/>
      <c r="D860" s="43"/>
      <c r="E860" s="3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6" x14ac:dyDescent="0.25">
      <c r="A861" s="1"/>
      <c r="B861" s="1"/>
      <c r="C861" s="1"/>
      <c r="D861" s="43"/>
      <c r="E861" s="3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6" x14ac:dyDescent="0.25">
      <c r="A862" s="1"/>
      <c r="B862" s="1"/>
      <c r="C862" s="1"/>
      <c r="D862" s="43"/>
      <c r="E862" s="3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6" x14ac:dyDescent="0.25">
      <c r="A863" s="1"/>
      <c r="B863" s="1"/>
      <c r="C863" s="1"/>
      <c r="D863" s="43"/>
      <c r="E863" s="3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6" x14ac:dyDescent="0.25">
      <c r="A864" s="1"/>
      <c r="B864" s="1"/>
      <c r="C864" s="1"/>
      <c r="D864" s="43"/>
      <c r="E864" s="3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6" x14ac:dyDescent="0.25">
      <c r="A865" s="1"/>
      <c r="B865" s="1"/>
      <c r="C865" s="1"/>
      <c r="D865" s="43"/>
      <c r="E865" s="3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6" x14ac:dyDescent="0.25">
      <c r="A866" s="1"/>
      <c r="B866" s="1"/>
      <c r="C866" s="1"/>
      <c r="D866" s="43"/>
      <c r="E866" s="3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6" x14ac:dyDescent="0.25">
      <c r="A867" s="1"/>
      <c r="B867" s="1"/>
      <c r="C867" s="1"/>
      <c r="D867" s="43"/>
      <c r="E867" s="3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6" x14ac:dyDescent="0.25">
      <c r="A868" s="1"/>
      <c r="B868" s="1"/>
      <c r="C868" s="1"/>
      <c r="D868" s="43"/>
      <c r="E868" s="3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6" x14ac:dyDescent="0.25">
      <c r="A869" s="1"/>
      <c r="B869" s="1"/>
      <c r="C869" s="1"/>
      <c r="D869" s="43"/>
      <c r="E869" s="3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6" x14ac:dyDescent="0.25">
      <c r="A870" s="1"/>
      <c r="B870" s="1"/>
      <c r="C870" s="1"/>
      <c r="D870" s="43"/>
      <c r="E870" s="3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6" x14ac:dyDescent="0.25">
      <c r="A871" s="1"/>
      <c r="B871" s="1"/>
      <c r="C871" s="1"/>
      <c r="D871" s="43"/>
      <c r="E871" s="3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6" x14ac:dyDescent="0.25">
      <c r="A872" s="1"/>
      <c r="B872" s="1"/>
      <c r="C872" s="1"/>
      <c r="D872" s="43"/>
      <c r="E872" s="3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6" x14ac:dyDescent="0.25">
      <c r="A873" s="1"/>
      <c r="B873" s="1"/>
      <c r="C873" s="1"/>
      <c r="D873" s="43"/>
      <c r="E873" s="3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6" x14ac:dyDescent="0.25">
      <c r="A874" s="1"/>
      <c r="B874" s="1"/>
      <c r="C874" s="1"/>
      <c r="D874" s="43"/>
      <c r="E874" s="3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6" x14ac:dyDescent="0.25">
      <c r="A875" s="1"/>
      <c r="B875" s="1"/>
      <c r="C875" s="1"/>
      <c r="D875" s="43"/>
      <c r="E875" s="3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6" x14ac:dyDescent="0.25">
      <c r="A876" s="1"/>
      <c r="B876" s="1"/>
      <c r="C876" s="1"/>
      <c r="D876" s="43"/>
      <c r="E876" s="3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6" x14ac:dyDescent="0.25">
      <c r="A877" s="1"/>
      <c r="B877" s="1"/>
      <c r="C877" s="1"/>
      <c r="D877" s="43"/>
      <c r="E877" s="3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6" x14ac:dyDescent="0.25">
      <c r="A878" s="1"/>
      <c r="B878" s="1"/>
      <c r="C878" s="1"/>
      <c r="D878" s="43"/>
      <c r="E878" s="3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6" x14ac:dyDescent="0.25">
      <c r="A879" s="1"/>
      <c r="B879" s="1"/>
      <c r="C879" s="1"/>
      <c r="D879" s="43"/>
      <c r="E879" s="3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6" x14ac:dyDescent="0.25">
      <c r="A880" s="1"/>
      <c r="B880" s="1"/>
      <c r="C880" s="1"/>
      <c r="D880" s="43"/>
      <c r="E880" s="3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6" x14ac:dyDescent="0.25">
      <c r="A881" s="1"/>
      <c r="B881" s="1"/>
      <c r="C881" s="1"/>
      <c r="D881" s="43"/>
      <c r="E881" s="3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6" x14ac:dyDescent="0.25">
      <c r="A882" s="1"/>
      <c r="B882" s="1"/>
      <c r="C882" s="1"/>
      <c r="D882" s="43"/>
      <c r="E882" s="3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6" x14ac:dyDescent="0.25">
      <c r="A883" s="1"/>
      <c r="B883" s="1"/>
      <c r="C883" s="1"/>
      <c r="D883" s="43"/>
      <c r="E883" s="3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6" x14ac:dyDescent="0.25">
      <c r="A884" s="1"/>
      <c r="B884" s="1"/>
      <c r="C884" s="1"/>
      <c r="D884" s="43"/>
      <c r="E884" s="3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6" x14ac:dyDescent="0.25">
      <c r="A885" s="1"/>
      <c r="B885" s="1"/>
      <c r="C885" s="1"/>
      <c r="D885" s="43"/>
      <c r="E885" s="3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6" x14ac:dyDescent="0.25">
      <c r="A886" s="1"/>
      <c r="B886" s="1"/>
      <c r="C886" s="1"/>
      <c r="D886" s="43"/>
      <c r="E886" s="3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6" x14ac:dyDescent="0.25">
      <c r="A887" s="1"/>
      <c r="B887" s="1"/>
      <c r="C887" s="1"/>
      <c r="D887" s="43"/>
      <c r="E887" s="3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6" x14ac:dyDescent="0.25">
      <c r="A888" s="1"/>
      <c r="B888" s="1"/>
      <c r="C888" s="1"/>
      <c r="D888" s="43"/>
      <c r="E888" s="3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6" x14ac:dyDescent="0.25">
      <c r="A889" s="1"/>
      <c r="B889" s="1"/>
      <c r="C889" s="1"/>
      <c r="D889" s="43"/>
      <c r="E889" s="3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6" x14ac:dyDescent="0.25">
      <c r="A890" s="1"/>
      <c r="B890" s="1"/>
      <c r="C890" s="1"/>
      <c r="D890" s="43"/>
      <c r="E890" s="3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6" x14ac:dyDescent="0.25">
      <c r="A891" s="1"/>
      <c r="B891" s="1"/>
      <c r="C891" s="1"/>
      <c r="D891" s="43"/>
      <c r="E891" s="3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6" x14ac:dyDescent="0.25">
      <c r="A892" s="1"/>
      <c r="B892" s="1"/>
      <c r="C892" s="1"/>
      <c r="D892" s="43"/>
      <c r="E892" s="3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6" x14ac:dyDescent="0.25">
      <c r="A893" s="1"/>
      <c r="B893" s="1"/>
      <c r="C893" s="1"/>
      <c r="D893" s="43"/>
      <c r="E893" s="3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6" x14ac:dyDescent="0.25">
      <c r="A894" s="1"/>
      <c r="B894" s="1"/>
      <c r="C894" s="1"/>
      <c r="D894" s="43"/>
      <c r="E894" s="3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6" x14ac:dyDescent="0.25">
      <c r="A895" s="1"/>
      <c r="B895" s="1"/>
      <c r="C895" s="1"/>
      <c r="D895" s="43"/>
      <c r="E895" s="3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6" x14ac:dyDescent="0.25">
      <c r="A896" s="1"/>
      <c r="B896" s="1"/>
      <c r="C896" s="1"/>
      <c r="D896" s="43"/>
      <c r="E896" s="3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6" x14ac:dyDescent="0.25">
      <c r="A897" s="1"/>
      <c r="B897" s="1"/>
      <c r="C897" s="1"/>
      <c r="D897" s="43"/>
      <c r="E897" s="3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6" x14ac:dyDescent="0.25">
      <c r="A898" s="1"/>
      <c r="B898" s="1"/>
      <c r="C898" s="1"/>
      <c r="D898" s="43"/>
      <c r="E898" s="3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6" x14ac:dyDescent="0.25">
      <c r="A899" s="1"/>
      <c r="B899" s="1"/>
      <c r="C899" s="1"/>
      <c r="D899" s="43"/>
      <c r="E899" s="3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6" x14ac:dyDescent="0.25">
      <c r="A900" s="1"/>
      <c r="B900" s="1"/>
      <c r="C900" s="1"/>
      <c r="D900" s="43"/>
      <c r="E900" s="3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6" x14ac:dyDescent="0.25">
      <c r="A901" s="1"/>
      <c r="B901" s="1"/>
      <c r="C901" s="1"/>
      <c r="D901" s="43"/>
      <c r="E901" s="3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6" x14ac:dyDescent="0.25">
      <c r="A902" s="1"/>
      <c r="B902" s="1"/>
      <c r="C902" s="1"/>
      <c r="D902" s="43"/>
      <c r="E902" s="3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6" x14ac:dyDescent="0.25">
      <c r="A903" s="1"/>
      <c r="B903" s="1"/>
      <c r="C903" s="1"/>
      <c r="D903" s="43"/>
      <c r="E903" s="3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6" x14ac:dyDescent="0.25">
      <c r="A904" s="1"/>
      <c r="B904" s="1"/>
      <c r="C904" s="1"/>
      <c r="D904" s="43"/>
      <c r="E904" s="3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6" x14ac:dyDescent="0.25">
      <c r="A905" s="1"/>
      <c r="B905" s="1"/>
      <c r="C905" s="1"/>
      <c r="D905" s="43"/>
      <c r="E905" s="3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6" x14ac:dyDescent="0.25">
      <c r="A906" s="1"/>
      <c r="B906" s="1"/>
      <c r="C906" s="1"/>
      <c r="D906" s="43"/>
      <c r="E906" s="3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6" x14ac:dyDescent="0.25">
      <c r="A907" s="1"/>
      <c r="B907" s="1"/>
      <c r="C907" s="1"/>
      <c r="D907" s="43"/>
      <c r="E907" s="3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6" x14ac:dyDescent="0.25">
      <c r="A908" s="1"/>
      <c r="B908" s="1"/>
      <c r="C908" s="1"/>
      <c r="D908" s="43"/>
      <c r="E908" s="3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6" x14ac:dyDescent="0.25">
      <c r="A909" s="1"/>
      <c r="B909" s="1"/>
      <c r="C909" s="1"/>
      <c r="D909" s="43"/>
      <c r="E909" s="3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6" x14ac:dyDescent="0.25">
      <c r="A910" s="1"/>
      <c r="B910" s="1"/>
      <c r="C910" s="1"/>
      <c r="D910" s="43"/>
      <c r="E910" s="3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6" x14ac:dyDescent="0.25">
      <c r="A911" s="1"/>
      <c r="B911" s="1"/>
      <c r="C911" s="1"/>
      <c r="D911" s="43"/>
      <c r="E911" s="3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6" x14ac:dyDescent="0.25">
      <c r="A912" s="1"/>
      <c r="B912" s="1"/>
      <c r="C912" s="1"/>
      <c r="D912" s="43"/>
      <c r="E912" s="3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6" x14ac:dyDescent="0.25">
      <c r="A913" s="1"/>
      <c r="B913" s="1"/>
      <c r="C913" s="1"/>
      <c r="D913" s="43"/>
      <c r="E913" s="3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6" x14ac:dyDescent="0.25">
      <c r="A914" s="1"/>
      <c r="B914" s="1"/>
      <c r="C914" s="1"/>
      <c r="D914" s="43"/>
      <c r="E914" s="3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6" x14ac:dyDescent="0.25">
      <c r="A915" s="1"/>
      <c r="B915" s="1"/>
      <c r="C915" s="1"/>
      <c r="D915" s="43"/>
      <c r="E915" s="3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6" x14ac:dyDescent="0.25">
      <c r="A916" s="1"/>
      <c r="B916" s="1"/>
      <c r="C916" s="1"/>
      <c r="D916" s="43"/>
      <c r="E916" s="3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6" x14ac:dyDescent="0.25">
      <c r="A917" s="1"/>
      <c r="B917" s="1"/>
      <c r="C917" s="1"/>
      <c r="D917" s="43"/>
      <c r="E917" s="3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6" x14ac:dyDescent="0.25">
      <c r="A918" s="1"/>
      <c r="B918" s="1"/>
      <c r="C918" s="1"/>
      <c r="D918" s="43"/>
      <c r="E918" s="3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6" x14ac:dyDescent="0.25">
      <c r="A919" s="1"/>
      <c r="B919" s="1"/>
      <c r="C919" s="1"/>
      <c r="D919" s="43"/>
      <c r="E919" s="3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6" x14ac:dyDescent="0.25">
      <c r="A920" s="1"/>
      <c r="B920" s="1"/>
      <c r="C920" s="1"/>
      <c r="D920" s="43"/>
      <c r="E920" s="3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6" x14ac:dyDescent="0.25">
      <c r="A921" s="1"/>
      <c r="B921" s="1"/>
      <c r="C921" s="1"/>
      <c r="D921" s="43"/>
      <c r="E921" s="3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6" x14ac:dyDescent="0.25">
      <c r="A922" s="1"/>
      <c r="B922" s="1"/>
      <c r="C922" s="1"/>
      <c r="D922" s="43"/>
      <c r="E922" s="3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6" x14ac:dyDescent="0.25">
      <c r="A923" s="1"/>
      <c r="B923" s="1"/>
      <c r="C923" s="1"/>
      <c r="D923" s="43"/>
      <c r="E923" s="3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6" x14ac:dyDescent="0.25">
      <c r="A924" s="1"/>
      <c r="B924" s="1"/>
      <c r="C924" s="1"/>
      <c r="D924" s="43"/>
      <c r="E924" s="3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6" x14ac:dyDescent="0.25">
      <c r="A925" s="1"/>
      <c r="B925" s="1"/>
      <c r="C925" s="1"/>
      <c r="D925" s="43"/>
      <c r="E925" s="3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6" x14ac:dyDescent="0.25">
      <c r="A926" s="1"/>
      <c r="B926" s="1"/>
      <c r="C926" s="1"/>
      <c r="D926" s="43"/>
      <c r="E926" s="3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6" x14ac:dyDescent="0.25">
      <c r="A927" s="1"/>
      <c r="B927" s="1"/>
      <c r="C927" s="1"/>
      <c r="D927" s="43"/>
      <c r="E927" s="3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6" x14ac:dyDescent="0.25">
      <c r="A928" s="1"/>
      <c r="B928" s="1"/>
      <c r="C928" s="1"/>
      <c r="D928" s="43"/>
      <c r="E928" s="3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6" x14ac:dyDescent="0.25">
      <c r="A929" s="1"/>
      <c r="B929" s="1"/>
      <c r="C929" s="1"/>
      <c r="D929" s="43"/>
      <c r="E929" s="3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6" x14ac:dyDescent="0.25">
      <c r="A930" s="1"/>
      <c r="B930" s="1"/>
      <c r="C930" s="1"/>
      <c r="D930" s="43"/>
      <c r="E930" s="3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6" x14ac:dyDescent="0.25">
      <c r="A931" s="1"/>
      <c r="B931" s="1"/>
      <c r="C931" s="1"/>
      <c r="D931" s="43"/>
      <c r="E931" s="3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6" x14ac:dyDescent="0.25">
      <c r="A932" s="1"/>
      <c r="B932" s="1"/>
      <c r="C932" s="1"/>
      <c r="D932" s="43"/>
      <c r="E932" s="3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6" x14ac:dyDescent="0.25">
      <c r="A933" s="1"/>
      <c r="B933" s="1"/>
      <c r="C933" s="1"/>
      <c r="D933" s="43"/>
      <c r="E933" s="3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6" x14ac:dyDescent="0.25">
      <c r="A934" s="1"/>
      <c r="B934" s="1"/>
      <c r="C934" s="1"/>
      <c r="D934" s="43"/>
      <c r="E934" s="3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6" x14ac:dyDescent="0.25">
      <c r="A935" s="1"/>
      <c r="B935" s="1"/>
      <c r="C935" s="1"/>
      <c r="D935" s="43"/>
      <c r="E935" s="3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6" x14ac:dyDescent="0.25">
      <c r="A936" s="1"/>
      <c r="B936" s="1"/>
      <c r="C936" s="1"/>
      <c r="D936" s="43"/>
      <c r="E936" s="3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6" x14ac:dyDescent="0.25">
      <c r="A937" s="1"/>
      <c r="B937" s="1"/>
      <c r="C937" s="1"/>
      <c r="D937" s="43"/>
      <c r="E937" s="3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6" x14ac:dyDescent="0.25">
      <c r="A938" s="1"/>
      <c r="B938" s="1"/>
      <c r="C938" s="1"/>
      <c r="D938" s="43"/>
      <c r="E938" s="3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6" x14ac:dyDescent="0.25">
      <c r="A939" s="1"/>
      <c r="B939" s="1"/>
      <c r="C939" s="1"/>
      <c r="D939" s="43"/>
      <c r="E939" s="3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6" x14ac:dyDescent="0.25">
      <c r="A940" s="1"/>
      <c r="B940" s="1"/>
      <c r="C940" s="1"/>
      <c r="D940" s="43"/>
      <c r="E940" s="3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6" x14ac:dyDescent="0.25">
      <c r="A941" s="1"/>
      <c r="B941" s="1"/>
      <c r="C941" s="1"/>
      <c r="D941" s="43"/>
      <c r="E941" s="3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6" x14ac:dyDescent="0.25">
      <c r="A942" s="1"/>
      <c r="B942" s="1"/>
      <c r="C942" s="1"/>
      <c r="D942" s="43"/>
      <c r="E942" s="3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6" x14ac:dyDescent="0.25">
      <c r="A943" s="1"/>
      <c r="B943" s="1"/>
      <c r="C943" s="1"/>
      <c r="D943" s="43"/>
      <c r="E943" s="3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6" x14ac:dyDescent="0.25">
      <c r="A944" s="1"/>
      <c r="B944" s="1"/>
      <c r="C944" s="1"/>
      <c r="D944" s="43"/>
      <c r="E944" s="3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6" x14ac:dyDescent="0.25">
      <c r="A945" s="1"/>
      <c r="B945" s="1"/>
      <c r="C945" s="1"/>
      <c r="D945" s="43"/>
      <c r="E945" s="3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6" x14ac:dyDescent="0.25">
      <c r="A946" s="1"/>
      <c r="B946" s="1"/>
      <c r="C946" s="1"/>
      <c r="D946" s="43"/>
      <c r="E946" s="3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6" x14ac:dyDescent="0.25">
      <c r="A947" s="1"/>
      <c r="B947" s="1"/>
      <c r="C947" s="1"/>
      <c r="D947" s="43"/>
      <c r="E947" s="3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6" x14ac:dyDescent="0.25">
      <c r="A948" s="1"/>
      <c r="B948" s="1"/>
      <c r="C948" s="1"/>
      <c r="D948" s="43"/>
      <c r="E948" s="3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6" x14ac:dyDescent="0.25">
      <c r="A949" s="1"/>
      <c r="B949" s="1"/>
      <c r="C949" s="1"/>
      <c r="D949" s="43"/>
      <c r="E949" s="3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6" x14ac:dyDescent="0.25">
      <c r="A950" s="1"/>
      <c r="B950" s="1"/>
      <c r="C950" s="1"/>
      <c r="D950" s="43"/>
      <c r="E950" s="3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6" x14ac:dyDescent="0.25">
      <c r="A951" s="1"/>
      <c r="B951" s="1"/>
      <c r="C951" s="1"/>
      <c r="D951" s="43"/>
      <c r="E951" s="3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6" x14ac:dyDescent="0.25">
      <c r="A952" s="1"/>
      <c r="B952" s="1"/>
      <c r="C952" s="1"/>
      <c r="D952" s="43"/>
      <c r="E952" s="3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6" x14ac:dyDescent="0.25">
      <c r="A953" s="1"/>
      <c r="B953" s="1"/>
      <c r="C953" s="1"/>
      <c r="D953" s="43"/>
      <c r="E953" s="3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6" x14ac:dyDescent="0.25">
      <c r="A954" s="1"/>
      <c r="B954" s="1"/>
      <c r="C954" s="1"/>
      <c r="D954" s="43"/>
      <c r="E954" s="3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6" x14ac:dyDescent="0.25">
      <c r="A955" s="1"/>
      <c r="B955" s="1"/>
      <c r="C955" s="1"/>
      <c r="D955" s="43"/>
      <c r="E955" s="3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6" x14ac:dyDescent="0.25">
      <c r="A956" s="1"/>
      <c r="B956" s="1"/>
      <c r="C956" s="1"/>
      <c r="D956" s="43"/>
      <c r="E956" s="3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6" x14ac:dyDescent="0.25">
      <c r="A957" s="1"/>
      <c r="B957" s="1"/>
      <c r="C957" s="1"/>
      <c r="D957" s="43"/>
      <c r="E957" s="3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6" x14ac:dyDescent="0.25">
      <c r="A958" s="1"/>
      <c r="B958" s="1"/>
      <c r="C958" s="1"/>
      <c r="D958" s="43"/>
      <c r="E958" s="3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6" x14ac:dyDescent="0.25">
      <c r="A959" s="1"/>
      <c r="B959" s="1"/>
      <c r="C959" s="1"/>
      <c r="D959" s="43"/>
      <c r="E959" s="3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6" x14ac:dyDescent="0.25">
      <c r="A960" s="1"/>
      <c r="B960" s="1"/>
      <c r="C960" s="1"/>
      <c r="D960" s="43"/>
      <c r="E960" s="3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6" x14ac:dyDescent="0.25">
      <c r="A961" s="1"/>
      <c r="B961" s="1"/>
      <c r="C961" s="1"/>
      <c r="D961" s="43"/>
      <c r="E961" s="3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6" x14ac:dyDescent="0.25">
      <c r="A962" s="1"/>
      <c r="B962" s="1"/>
      <c r="C962" s="1"/>
      <c r="D962" s="43"/>
      <c r="E962" s="3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6" x14ac:dyDescent="0.25">
      <c r="A963" s="1"/>
      <c r="B963" s="1"/>
      <c r="C963" s="1"/>
      <c r="D963" s="43"/>
      <c r="E963" s="3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6" x14ac:dyDescent="0.25">
      <c r="A964" s="1"/>
      <c r="B964" s="1"/>
      <c r="C964" s="1"/>
      <c r="D964" s="43"/>
      <c r="E964" s="3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6" x14ac:dyDescent="0.25">
      <c r="A965" s="1"/>
      <c r="B965" s="1"/>
      <c r="C965" s="1"/>
      <c r="D965" s="43"/>
      <c r="E965" s="3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6" x14ac:dyDescent="0.25">
      <c r="A966" s="1"/>
      <c r="B966" s="1"/>
      <c r="C966" s="1"/>
      <c r="D966" s="43"/>
      <c r="E966" s="3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6" x14ac:dyDescent="0.25">
      <c r="A967" s="1"/>
      <c r="B967" s="1"/>
      <c r="C967" s="1"/>
      <c r="D967" s="43"/>
      <c r="E967" s="3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6" x14ac:dyDescent="0.25">
      <c r="A968" s="1"/>
      <c r="B968" s="1"/>
      <c r="C968" s="1"/>
      <c r="D968" s="43"/>
      <c r="E968" s="3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6" x14ac:dyDescent="0.25">
      <c r="A969" s="1"/>
      <c r="B969" s="1"/>
      <c r="C969" s="1"/>
      <c r="D969" s="43"/>
      <c r="E969" s="3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6" x14ac:dyDescent="0.25">
      <c r="A970" s="1"/>
      <c r="B970" s="1"/>
      <c r="C970" s="1"/>
      <c r="D970" s="43"/>
      <c r="E970" s="3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6" x14ac:dyDescent="0.25">
      <c r="A971" s="1"/>
      <c r="B971" s="1"/>
      <c r="C971" s="1"/>
      <c r="D971" s="43"/>
      <c r="E971" s="3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6" x14ac:dyDescent="0.25">
      <c r="A972" s="1"/>
      <c r="B972" s="1"/>
      <c r="C972" s="1"/>
      <c r="D972" s="43"/>
      <c r="E972" s="3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6" x14ac:dyDescent="0.25">
      <c r="A973" s="1"/>
      <c r="B973" s="1"/>
      <c r="C973" s="1"/>
      <c r="D973" s="43"/>
      <c r="E973" s="3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6" x14ac:dyDescent="0.25">
      <c r="A974" s="1"/>
      <c r="B974" s="1"/>
      <c r="C974" s="1"/>
      <c r="D974" s="43"/>
      <c r="E974" s="3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6" x14ac:dyDescent="0.25">
      <c r="A975" s="1"/>
      <c r="B975" s="1"/>
      <c r="C975" s="1"/>
      <c r="D975" s="43"/>
      <c r="E975" s="3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6" x14ac:dyDescent="0.25">
      <c r="A976" s="1"/>
      <c r="B976" s="1"/>
      <c r="C976" s="1"/>
      <c r="D976" s="43"/>
      <c r="E976" s="3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6" x14ac:dyDescent="0.25">
      <c r="A977" s="1"/>
      <c r="B977" s="1"/>
      <c r="C977" s="1"/>
      <c r="D977" s="43"/>
      <c r="E977" s="3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6" x14ac:dyDescent="0.25">
      <c r="A978" s="1"/>
      <c r="B978" s="1"/>
      <c r="C978" s="1"/>
      <c r="D978" s="43"/>
      <c r="E978" s="3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6" x14ac:dyDescent="0.25">
      <c r="A979" s="1"/>
      <c r="B979" s="1"/>
      <c r="C979" s="1"/>
      <c r="D979" s="43"/>
      <c r="E979" s="3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6" x14ac:dyDescent="0.25">
      <c r="A980" s="1"/>
      <c r="B980" s="1"/>
      <c r="C980" s="1"/>
      <c r="D980" s="43"/>
      <c r="E980" s="3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6" x14ac:dyDescent="0.25">
      <c r="A981" s="1"/>
      <c r="B981" s="1"/>
      <c r="C981" s="1"/>
      <c r="D981" s="43"/>
      <c r="E981" s="3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6" x14ac:dyDescent="0.25">
      <c r="A982" s="1"/>
      <c r="B982" s="1"/>
      <c r="C982" s="1"/>
      <c r="D982" s="43"/>
      <c r="E982" s="3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.6" x14ac:dyDescent="0.25">
      <c r="A983" s="1"/>
      <c r="B983" s="1"/>
      <c r="C983" s="1"/>
      <c r="D983" s="43"/>
      <c r="E983" s="3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.6" x14ac:dyDescent="0.25">
      <c r="A984" s="1"/>
      <c r="B984" s="1"/>
      <c r="C984" s="1"/>
      <c r="D984" s="43"/>
      <c r="E984" s="3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.6" x14ac:dyDescent="0.25">
      <c r="A985" s="1"/>
      <c r="B985" s="1"/>
      <c r="C985" s="1"/>
      <c r="D985" s="43"/>
      <c r="E985" s="3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.6" x14ac:dyDescent="0.25">
      <c r="A986" s="1"/>
      <c r="B986" s="1"/>
      <c r="C986" s="1"/>
      <c r="D986" s="43"/>
      <c r="E986" s="3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.6" x14ac:dyDescent="0.25">
      <c r="A987" s="1"/>
      <c r="B987" s="1"/>
      <c r="C987" s="1"/>
      <c r="D987" s="43"/>
      <c r="E987" s="3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.6" x14ac:dyDescent="0.25">
      <c r="A988" s="1"/>
      <c r="B988" s="1"/>
      <c r="C988" s="1"/>
      <c r="D988" s="43"/>
      <c r="E988" s="3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.6" x14ac:dyDescent="0.25">
      <c r="A989" s="1"/>
      <c r="B989" s="1"/>
      <c r="C989" s="1"/>
      <c r="D989" s="43"/>
      <c r="E989" s="3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.6" x14ac:dyDescent="0.25">
      <c r="A990" s="1"/>
      <c r="B990" s="1"/>
      <c r="C990" s="1"/>
      <c r="D990" s="43"/>
      <c r="E990" s="3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.6" x14ac:dyDescent="0.25">
      <c r="A991" s="1"/>
      <c r="B991" s="1"/>
      <c r="C991" s="1"/>
      <c r="D991" s="43"/>
      <c r="E991" s="3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</sheetData>
  <mergeCells count="2"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I1048576"/>
    </sheetView>
  </sheetViews>
  <sheetFormatPr defaultColWidth="12.6640625" defaultRowHeight="15.75" customHeight="1" x14ac:dyDescent="0.25"/>
  <cols>
    <col min="1" max="1" width="2.109375" customWidth="1"/>
    <col min="2" max="2" width="24.77734375" customWidth="1"/>
    <col min="4" max="4" width="11.33203125" customWidth="1"/>
    <col min="5" max="5" width="14.109375" customWidth="1"/>
    <col min="6" max="6" width="17.77734375" customWidth="1"/>
    <col min="7" max="7" width="15.21875" customWidth="1"/>
  </cols>
  <sheetData>
    <row r="1" spans="1:12" x14ac:dyDescent="0.25">
      <c r="A1" s="1"/>
      <c r="B1" s="1"/>
      <c r="C1" s="1"/>
      <c r="D1" s="170" t="s">
        <v>0</v>
      </c>
      <c r="E1" s="171"/>
      <c r="F1" s="170" t="s">
        <v>1</v>
      </c>
      <c r="G1" s="171"/>
      <c r="H1" s="1"/>
      <c r="I1" s="1"/>
      <c r="J1" s="1"/>
      <c r="K1" s="1"/>
      <c r="L1" s="1"/>
    </row>
    <row r="2" spans="1:12" x14ac:dyDescent="0.25">
      <c r="A2" s="1"/>
      <c r="B2" s="3" t="s">
        <v>2</v>
      </c>
      <c r="C2" s="3" t="s">
        <v>4</v>
      </c>
      <c r="D2" s="5" t="s">
        <v>5</v>
      </c>
      <c r="E2" s="6" t="s">
        <v>6</v>
      </c>
      <c r="F2" s="7" t="s">
        <v>5</v>
      </c>
      <c r="G2" s="8">
        <v>46235</v>
      </c>
      <c r="H2" s="1"/>
      <c r="I2" s="1"/>
      <c r="J2" s="1"/>
      <c r="K2" s="1"/>
      <c r="L2" s="1"/>
    </row>
    <row r="3" spans="1:12" x14ac:dyDescent="0.25">
      <c r="A3" s="1"/>
      <c r="B3" s="9" t="s">
        <v>7</v>
      </c>
      <c r="C3" s="11"/>
      <c r="D3" s="13"/>
      <c r="E3" s="15"/>
      <c r="F3" s="1"/>
      <c r="G3" s="1"/>
      <c r="H3" s="1"/>
      <c r="I3" s="1"/>
      <c r="J3" s="1"/>
      <c r="K3" s="1"/>
      <c r="L3" s="1"/>
    </row>
    <row r="4" spans="1:12" x14ac:dyDescent="0.25">
      <c r="A4" s="1"/>
      <c r="B4" s="20" t="s">
        <v>10</v>
      </c>
      <c r="C4" s="20">
        <v>15</v>
      </c>
      <c r="D4" s="22" t="s">
        <v>11</v>
      </c>
      <c r="E4" s="24">
        <v>16.8</v>
      </c>
      <c r="F4" s="26" t="s">
        <v>15</v>
      </c>
      <c r="G4" s="27">
        <v>18</v>
      </c>
      <c r="H4" s="1"/>
      <c r="I4" s="1"/>
      <c r="J4" s="1"/>
      <c r="K4" s="1"/>
      <c r="L4" s="1"/>
    </row>
    <row r="5" spans="1:12" x14ac:dyDescent="0.25">
      <c r="A5" s="1"/>
      <c r="B5" s="21" t="s">
        <v>16</v>
      </c>
      <c r="C5" s="21">
        <v>20</v>
      </c>
      <c r="D5" s="29" t="s">
        <v>17</v>
      </c>
      <c r="E5" s="27">
        <v>19.899999999999999</v>
      </c>
      <c r="F5" s="26" t="s">
        <v>20</v>
      </c>
      <c r="G5" s="27">
        <v>22</v>
      </c>
      <c r="H5" s="1"/>
      <c r="I5" s="1"/>
      <c r="J5" s="1"/>
      <c r="K5" s="1"/>
      <c r="L5" s="1"/>
    </row>
    <row r="6" spans="1:12" x14ac:dyDescent="0.25">
      <c r="A6" s="1"/>
      <c r="B6" s="21" t="s">
        <v>21</v>
      </c>
      <c r="C6" s="21">
        <v>25</v>
      </c>
      <c r="D6" s="29" t="s">
        <v>22</v>
      </c>
      <c r="E6" s="27">
        <v>39.799999999999997</v>
      </c>
      <c r="F6" s="26" t="s">
        <v>26</v>
      </c>
      <c r="G6" s="27">
        <v>47</v>
      </c>
      <c r="H6" s="1"/>
      <c r="I6" s="1"/>
      <c r="J6" s="1"/>
      <c r="K6" s="1"/>
      <c r="L6" s="1"/>
    </row>
    <row r="7" spans="1:12" x14ac:dyDescent="0.25">
      <c r="A7" s="1"/>
      <c r="B7" s="21" t="s">
        <v>27</v>
      </c>
      <c r="C7" s="21">
        <v>32</v>
      </c>
      <c r="D7" s="29" t="s">
        <v>28</v>
      </c>
      <c r="E7" s="27">
        <v>89.9</v>
      </c>
      <c r="F7" s="26" t="s">
        <v>31</v>
      </c>
      <c r="G7" s="27">
        <v>87</v>
      </c>
      <c r="H7" s="1"/>
      <c r="I7" s="1"/>
      <c r="J7" s="1"/>
      <c r="K7" s="1"/>
      <c r="L7" s="1"/>
    </row>
    <row r="8" spans="1:12" x14ac:dyDescent="0.25">
      <c r="A8" s="1"/>
      <c r="B8" s="21" t="s">
        <v>33</v>
      </c>
      <c r="C8" s="21">
        <v>40</v>
      </c>
      <c r="D8" s="29" t="s">
        <v>34</v>
      </c>
      <c r="E8" s="27">
        <v>164.4</v>
      </c>
      <c r="F8" s="26" t="s">
        <v>36</v>
      </c>
      <c r="G8" s="27">
        <v>165</v>
      </c>
      <c r="H8" s="1"/>
      <c r="I8" s="1"/>
      <c r="J8" s="1"/>
      <c r="K8" s="1"/>
      <c r="L8" s="1"/>
    </row>
    <row r="9" spans="1:12" x14ac:dyDescent="0.25">
      <c r="A9" s="1"/>
      <c r="B9" s="21" t="s">
        <v>38</v>
      </c>
      <c r="C9" s="21">
        <v>50</v>
      </c>
      <c r="D9" s="29" t="s">
        <v>40</v>
      </c>
      <c r="E9" s="27">
        <v>338</v>
      </c>
      <c r="F9" s="26" t="s">
        <v>42</v>
      </c>
      <c r="G9" s="27">
        <v>345</v>
      </c>
      <c r="H9" s="1"/>
      <c r="I9" s="1"/>
      <c r="J9" s="1"/>
      <c r="K9" s="1"/>
      <c r="L9" s="1"/>
    </row>
    <row r="10" spans="1:12" x14ac:dyDescent="0.25">
      <c r="A10" s="1"/>
      <c r="B10" s="34"/>
      <c r="C10" s="34"/>
      <c r="D10" s="35"/>
      <c r="E10" s="36"/>
      <c r="F10" s="17"/>
      <c r="G10" s="19"/>
      <c r="H10" s="1"/>
      <c r="I10" s="1"/>
      <c r="J10" s="1"/>
      <c r="K10" s="1"/>
      <c r="L10" s="1"/>
    </row>
    <row r="11" spans="1:12" x14ac:dyDescent="0.25">
      <c r="A11" s="1"/>
      <c r="B11" s="37" t="s">
        <v>23</v>
      </c>
      <c r="C11" s="38"/>
      <c r="D11" s="39"/>
      <c r="E11" s="36"/>
      <c r="F11" s="17"/>
      <c r="G11" s="19"/>
      <c r="H11" s="1"/>
      <c r="I11" s="1"/>
      <c r="J11" s="1"/>
      <c r="K11" s="1"/>
      <c r="L11" s="1"/>
    </row>
    <row r="12" spans="1:12" x14ac:dyDescent="0.25">
      <c r="A12" s="1"/>
      <c r="B12" s="20" t="s">
        <v>54</v>
      </c>
      <c r="C12" s="28">
        <v>65</v>
      </c>
      <c r="D12" s="40" t="s">
        <v>62</v>
      </c>
      <c r="E12" s="25">
        <v>898</v>
      </c>
      <c r="F12" s="26" t="s">
        <v>65</v>
      </c>
      <c r="G12" s="27">
        <v>818</v>
      </c>
      <c r="H12" s="1"/>
      <c r="I12" s="1"/>
      <c r="J12" s="1"/>
      <c r="K12" s="1"/>
      <c r="L12" s="1"/>
    </row>
    <row r="13" spans="1:12" x14ac:dyDescent="0.25">
      <c r="A13" s="1"/>
      <c r="B13" s="20">
        <v>3</v>
      </c>
      <c r="C13" s="28">
        <v>80</v>
      </c>
      <c r="D13" s="40" t="s">
        <v>68</v>
      </c>
      <c r="E13" s="25">
        <v>1368</v>
      </c>
      <c r="F13" s="26" t="s">
        <v>70</v>
      </c>
      <c r="G13" s="27">
        <v>1170</v>
      </c>
      <c r="H13" s="1"/>
      <c r="I13" s="1"/>
      <c r="J13" s="1"/>
      <c r="K13" s="1"/>
      <c r="L13" s="1"/>
    </row>
    <row r="14" spans="1:12" x14ac:dyDescent="0.25">
      <c r="A14" s="1"/>
      <c r="B14" s="20">
        <v>4</v>
      </c>
      <c r="C14" s="28">
        <v>100</v>
      </c>
      <c r="D14" s="40" t="s">
        <v>72</v>
      </c>
      <c r="E14" s="25">
        <v>2288</v>
      </c>
      <c r="F14" s="26" t="s">
        <v>73</v>
      </c>
      <c r="G14" s="27">
        <v>1860</v>
      </c>
      <c r="H14" s="1"/>
      <c r="I14" s="1"/>
      <c r="J14" s="1"/>
      <c r="K14" s="1"/>
      <c r="L14" s="1"/>
    </row>
    <row r="15" spans="1:12" x14ac:dyDescent="0.25">
      <c r="A15" s="1"/>
      <c r="B15" s="34"/>
      <c r="C15" s="34"/>
      <c r="D15" s="35"/>
      <c r="E15" s="36"/>
      <c r="F15" s="46"/>
      <c r="G15" s="19"/>
      <c r="H15" s="1"/>
      <c r="I15" s="1"/>
      <c r="J15" s="1"/>
      <c r="K15" s="1"/>
      <c r="L15" s="1"/>
    </row>
    <row r="16" spans="1:12" x14ac:dyDescent="0.25">
      <c r="A16" s="1"/>
      <c r="B16" s="37" t="s">
        <v>79</v>
      </c>
      <c r="C16" s="38"/>
      <c r="D16" s="39"/>
      <c r="E16" s="36"/>
      <c r="F16" s="17"/>
      <c r="G16" s="19"/>
      <c r="H16" s="1"/>
      <c r="I16" s="1"/>
      <c r="J16" s="1"/>
      <c r="K16" s="1"/>
      <c r="L16" s="1"/>
    </row>
    <row r="17" spans="1:12" x14ac:dyDescent="0.25">
      <c r="A17" s="1"/>
      <c r="B17" s="21">
        <v>6</v>
      </c>
      <c r="C17" s="48">
        <v>150</v>
      </c>
      <c r="D17" s="49" t="s">
        <v>83</v>
      </c>
      <c r="E17" s="25">
        <v>3580</v>
      </c>
      <c r="F17" s="26"/>
      <c r="G17" s="27"/>
      <c r="H17" s="1"/>
      <c r="I17" s="1"/>
      <c r="J17" s="1"/>
      <c r="K17" s="1"/>
      <c r="L17" s="1"/>
    </row>
    <row r="18" spans="1:12" x14ac:dyDescent="0.25">
      <c r="A18" s="1"/>
      <c r="B18" s="34"/>
      <c r="C18" s="34"/>
      <c r="D18" s="35"/>
      <c r="E18" s="36"/>
      <c r="F18" s="17"/>
      <c r="G18" s="19"/>
      <c r="H18" s="1"/>
      <c r="I18" s="1"/>
      <c r="J18" s="1"/>
      <c r="K18" s="1"/>
      <c r="L18" s="1"/>
    </row>
    <row r="19" spans="1:12" x14ac:dyDescent="0.25">
      <c r="A19" s="1"/>
      <c r="B19" s="37" t="s">
        <v>90</v>
      </c>
      <c r="C19" s="38"/>
      <c r="D19" s="39"/>
      <c r="E19" s="36"/>
      <c r="F19" s="17"/>
      <c r="G19" s="19"/>
      <c r="H19" s="1"/>
      <c r="I19" s="1"/>
      <c r="J19" s="1"/>
      <c r="K19" s="1"/>
      <c r="L19" s="1"/>
    </row>
    <row r="20" spans="1:12" x14ac:dyDescent="0.25">
      <c r="A20" s="1"/>
      <c r="B20" s="21" t="s">
        <v>43</v>
      </c>
      <c r="C20" s="50" t="s">
        <v>44</v>
      </c>
      <c r="D20" s="49" t="s">
        <v>97</v>
      </c>
      <c r="E20" s="27">
        <v>29.8</v>
      </c>
      <c r="F20" s="26" t="s">
        <v>100</v>
      </c>
      <c r="G20" s="27">
        <v>27</v>
      </c>
      <c r="H20" s="1"/>
      <c r="I20" s="1"/>
      <c r="J20" s="1"/>
      <c r="K20" s="1"/>
      <c r="L20" s="1"/>
    </row>
    <row r="21" spans="1:12" x14ac:dyDescent="0.25">
      <c r="A21" s="1"/>
      <c r="B21" s="20" t="s">
        <v>102</v>
      </c>
      <c r="C21" s="51" t="s">
        <v>104</v>
      </c>
      <c r="D21" s="40" t="s">
        <v>107</v>
      </c>
      <c r="E21" s="27">
        <v>78</v>
      </c>
      <c r="F21" s="26" t="s">
        <v>108</v>
      </c>
      <c r="G21" s="27">
        <v>53</v>
      </c>
      <c r="H21" s="1"/>
      <c r="I21" s="1"/>
      <c r="J21" s="1"/>
      <c r="K21" s="1"/>
      <c r="L21" s="1"/>
    </row>
    <row r="22" spans="1:12" x14ac:dyDescent="0.25">
      <c r="A22" s="1"/>
      <c r="B22" s="34"/>
      <c r="C22" s="34"/>
      <c r="D22" s="35"/>
      <c r="E22" s="36"/>
      <c r="F22" s="17"/>
      <c r="G22" s="19"/>
      <c r="H22" s="1"/>
      <c r="I22" s="1"/>
      <c r="J22" s="1"/>
      <c r="K22" s="1"/>
      <c r="L22" s="1"/>
    </row>
    <row r="23" spans="1:12" x14ac:dyDescent="0.25">
      <c r="A23" s="1"/>
      <c r="B23" s="37" t="s">
        <v>114</v>
      </c>
      <c r="C23" s="38"/>
      <c r="D23" s="39"/>
      <c r="E23" s="36"/>
      <c r="F23" s="17"/>
      <c r="G23" s="19"/>
      <c r="H23" s="1"/>
      <c r="I23" s="1"/>
      <c r="J23" s="1"/>
      <c r="K23" s="1"/>
      <c r="L23" s="1"/>
    </row>
    <row r="24" spans="1:12" x14ac:dyDescent="0.25">
      <c r="A24" s="1"/>
      <c r="B24" s="21" t="s">
        <v>16</v>
      </c>
      <c r="C24" s="48">
        <v>20</v>
      </c>
      <c r="D24" s="49" t="s">
        <v>117</v>
      </c>
      <c r="E24" s="27">
        <v>27.8</v>
      </c>
      <c r="F24" s="26" t="s">
        <v>121</v>
      </c>
      <c r="G24" s="27">
        <v>27</v>
      </c>
      <c r="H24" s="1"/>
      <c r="I24" s="1"/>
      <c r="J24" s="1"/>
      <c r="K24" s="1"/>
      <c r="L24" s="1"/>
    </row>
    <row r="25" spans="1:12" x14ac:dyDescent="0.25">
      <c r="A25" s="1"/>
      <c r="B25" s="20" t="s">
        <v>21</v>
      </c>
      <c r="C25" s="28">
        <v>25</v>
      </c>
      <c r="D25" s="40" t="s">
        <v>124</v>
      </c>
      <c r="E25" s="27">
        <v>48.8</v>
      </c>
      <c r="F25" s="26" t="s">
        <v>127</v>
      </c>
      <c r="G25" s="27">
        <v>45</v>
      </c>
      <c r="H25" s="1"/>
      <c r="I25" s="1"/>
      <c r="J25" s="1"/>
      <c r="K25" s="1"/>
      <c r="L25" s="1"/>
    </row>
    <row r="26" spans="1:12" x14ac:dyDescent="0.25">
      <c r="A26" s="1"/>
      <c r="B26" s="20" t="s">
        <v>27</v>
      </c>
      <c r="C26" s="28">
        <v>32</v>
      </c>
      <c r="D26" s="40" t="s">
        <v>130</v>
      </c>
      <c r="E26" s="27">
        <v>106</v>
      </c>
      <c r="F26" s="26" t="s">
        <v>133</v>
      </c>
      <c r="G26" s="27">
        <v>98</v>
      </c>
      <c r="H26" s="1"/>
      <c r="I26" s="1"/>
      <c r="J26" s="1"/>
      <c r="K26" s="1"/>
      <c r="L26" s="1"/>
    </row>
    <row r="27" spans="1:12" x14ac:dyDescent="0.25">
      <c r="A27" s="1"/>
      <c r="B27" s="20" t="s">
        <v>33</v>
      </c>
      <c r="C27" s="28">
        <v>40</v>
      </c>
      <c r="D27" s="40" t="s">
        <v>135</v>
      </c>
      <c r="E27" s="27">
        <v>158</v>
      </c>
      <c r="F27" s="26" t="s">
        <v>145</v>
      </c>
      <c r="G27" s="27">
        <v>177</v>
      </c>
      <c r="H27" s="1"/>
      <c r="I27" s="1"/>
      <c r="J27" s="1"/>
      <c r="K27" s="1"/>
      <c r="L27" s="1"/>
    </row>
    <row r="28" spans="1:12" x14ac:dyDescent="0.25">
      <c r="A28" s="1"/>
      <c r="B28" s="20" t="s">
        <v>38</v>
      </c>
      <c r="C28" s="28">
        <v>50</v>
      </c>
      <c r="D28" s="40" t="s">
        <v>148</v>
      </c>
      <c r="E28" s="27">
        <v>334</v>
      </c>
      <c r="F28" s="26" t="s">
        <v>150</v>
      </c>
      <c r="G28" s="27">
        <v>405</v>
      </c>
      <c r="H28" s="1"/>
      <c r="I28" s="1"/>
      <c r="J28" s="1"/>
      <c r="K28" s="1"/>
      <c r="L28" s="1"/>
    </row>
    <row r="29" spans="1:12" x14ac:dyDescent="0.25">
      <c r="A29" s="1"/>
      <c r="B29" s="34"/>
      <c r="C29" s="34"/>
      <c r="D29" s="35"/>
      <c r="E29" s="36"/>
      <c r="F29" s="17"/>
      <c r="G29" s="19"/>
      <c r="H29" s="1"/>
      <c r="I29" s="1"/>
      <c r="J29" s="1"/>
      <c r="K29" s="1"/>
      <c r="L29" s="1"/>
    </row>
    <row r="30" spans="1:12" x14ac:dyDescent="0.25">
      <c r="A30" s="1"/>
      <c r="B30" s="37" t="s">
        <v>156</v>
      </c>
      <c r="C30" s="38"/>
      <c r="D30" s="39"/>
      <c r="E30" s="36"/>
      <c r="F30" s="17"/>
      <c r="G30" s="19"/>
      <c r="H30" s="1"/>
      <c r="I30" s="1"/>
      <c r="J30" s="1"/>
      <c r="K30" s="1"/>
      <c r="L30" s="1"/>
    </row>
    <row r="31" spans="1:12" x14ac:dyDescent="0.25">
      <c r="A31" s="1"/>
      <c r="B31" s="21" t="s">
        <v>10</v>
      </c>
      <c r="C31" s="21">
        <v>15</v>
      </c>
      <c r="D31" s="29" t="s">
        <v>159</v>
      </c>
      <c r="E31" s="27">
        <v>23.8</v>
      </c>
      <c r="F31" s="26" t="s">
        <v>162</v>
      </c>
      <c r="G31" s="27">
        <v>23</v>
      </c>
      <c r="H31" s="1"/>
      <c r="I31" s="1"/>
      <c r="J31" s="1"/>
      <c r="K31" s="1"/>
      <c r="L31" s="1"/>
    </row>
    <row r="32" spans="1:12" x14ac:dyDescent="0.25">
      <c r="A32" s="1"/>
      <c r="B32" s="21" t="s">
        <v>16</v>
      </c>
      <c r="C32" s="21">
        <v>20</v>
      </c>
      <c r="D32" s="29" t="s">
        <v>164</v>
      </c>
      <c r="E32" s="27">
        <v>32.4</v>
      </c>
      <c r="F32" s="53" t="s">
        <v>168</v>
      </c>
      <c r="G32" s="27">
        <v>36</v>
      </c>
      <c r="H32" s="1"/>
      <c r="I32" s="1"/>
      <c r="J32" s="1"/>
      <c r="K32" s="1"/>
      <c r="L32" s="1"/>
    </row>
    <row r="33" spans="1:12" x14ac:dyDescent="0.25">
      <c r="A33" s="1"/>
      <c r="B33" s="21" t="s">
        <v>21</v>
      </c>
      <c r="C33" s="21">
        <v>25</v>
      </c>
      <c r="D33" s="29" t="s">
        <v>173</v>
      </c>
      <c r="E33" s="27">
        <v>51.9</v>
      </c>
      <c r="F33" s="26" t="s">
        <v>176</v>
      </c>
      <c r="G33" s="27">
        <v>59</v>
      </c>
      <c r="H33" s="1"/>
      <c r="I33" s="1"/>
      <c r="J33" s="1"/>
      <c r="K33" s="1"/>
      <c r="L33" s="1"/>
    </row>
    <row r="34" spans="1:12" x14ac:dyDescent="0.25">
      <c r="A34" s="1"/>
      <c r="B34" s="21" t="s">
        <v>27</v>
      </c>
      <c r="C34" s="21">
        <v>32</v>
      </c>
      <c r="D34" s="29" t="s">
        <v>180</v>
      </c>
      <c r="E34" s="27">
        <v>112</v>
      </c>
      <c r="F34" s="26" t="s">
        <v>185</v>
      </c>
      <c r="G34" s="27">
        <v>110</v>
      </c>
      <c r="H34" s="1"/>
      <c r="I34" s="1"/>
      <c r="J34" s="1"/>
      <c r="K34" s="1"/>
      <c r="L34" s="1"/>
    </row>
    <row r="35" spans="1:12" x14ac:dyDescent="0.25">
      <c r="A35" s="1"/>
      <c r="B35" s="21" t="s">
        <v>33</v>
      </c>
      <c r="C35" s="21">
        <v>40</v>
      </c>
      <c r="D35" s="29" t="s">
        <v>187</v>
      </c>
      <c r="E35" s="27">
        <v>204</v>
      </c>
      <c r="F35" s="26" t="s">
        <v>191</v>
      </c>
      <c r="G35" s="54">
        <v>203</v>
      </c>
      <c r="H35" s="1"/>
      <c r="I35" s="1"/>
      <c r="J35" s="1"/>
      <c r="K35" s="1"/>
      <c r="L35" s="1"/>
    </row>
    <row r="36" spans="1:12" x14ac:dyDescent="0.25">
      <c r="A36" s="1"/>
      <c r="B36" s="21" t="s">
        <v>38</v>
      </c>
      <c r="C36" s="21">
        <v>50</v>
      </c>
      <c r="D36" s="29" t="s">
        <v>196</v>
      </c>
      <c r="E36" s="27">
        <v>418</v>
      </c>
      <c r="F36" s="26" t="s">
        <v>197</v>
      </c>
      <c r="G36" s="27">
        <v>431</v>
      </c>
      <c r="H36" s="1"/>
      <c r="I36" s="1"/>
      <c r="J36" s="1"/>
      <c r="K36" s="1"/>
      <c r="L36" s="1"/>
    </row>
    <row r="37" spans="1:12" x14ac:dyDescent="0.25">
      <c r="A37" s="1"/>
      <c r="B37" s="34"/>
      <c r="C37" s="34"/>
      <c r="D37" s="35"/>
      <c r="E37" s="36"/>
      <c r="F37" s="17"/>
      <c r="G37" s="19"/>
      <c r="H37" s="1"/>
      <c r="I37" s="1"/>
      <c r="J37" s="1"/>
      <c r="K37" s="1"/>
      <c r="L37" s="1"/>
    </row>
    <row r="38" spans="1:12" x14ac:dyDescent="0.25">
      <c r="A38" s="1"/>
      <c r="B38" s="37" t="s">
        <v>204</v>
      </c>
      <c r="C38" s="38"/>
      <c r="D38" s="39"/>
      <c r="E38" s="36"/>
      <c r="F38" s="17"/>
      <c r="G38" s="19"/>
      <c r="H38" s="1"/>
      <c r="I38" s="1"/>
      <c r="J38" s="1"/>
      <c r="K38" s="1"/>
      <c r="L38" s="1"/>
    </row>
    <row r="39" spans="1:12" x14ac:dyDescent="0.25">
      <c r="A39" s="1"/>
      <c r="B39" s="21" t="s">
        <v>54</v>
      </c>
      <c r="C39" s="48">
        <v>65</v>
      </c>
      <c r="D39" s="29" t="s">
        <v>208</v>
      </c>
      <c r="E39" s="25">
        <v>1360</v>
      </c>
      <c r="F39" s="26" t="s">
        <v>213</v>
      </c>
      <c r="G39" s="27">
        <v>1128</v>
      </c>
      <c r="H39" s="1"/>
      <c r="I39" s="1"/>
      <c r="J39" s="1"/>
      <c r="K39" s="1"/>
      <c r="L39" s="1"/>
    </row>
    <row r="40" spans="1:12" x14ac:dyDescent="0.25">
      <c r="A40" s="1"/>
      <c r="B40" s="20">
        <v>3</v>
      </c>
      <c r="C40" s="28">
        <v>80</v>
      </c>
      <c r="D40" s="29" t="s">
        <v>224</v>
      </c>
      <c r="E40" s="25">
        <v>1980</v>
      </c>
      <c r="F40" s="26" t="s">
        <v>230</v>
      </c>
      <c r="G40" s="27">
        <v>1620</v>
      </c>
      <c r="H40" s="1"/>
      <c r="I40" s="1"/>
      <c r="J40" s="1"/>
      <c r="K40" s="1"/>
      <c r="L40" s="1"/>
    </row>
    <row r="41" spans="1:12" x14ac:dyDescent="0.25">
      <c r="A41" s="1"/>
      <c r="B41" s="20">
        <v>4</v>
      </c>
      <c r="C41" s="28">
        <v>100</v>
      </c>
      <c r="D41" s="29" t="s">
        <v>237</v>
      </c>
      <c r="E41" s="25">
        <v>3240</v>
      </c>
      <c r="F41" s="26" t="s">
        <v>238</v>
      </c>
      <c r="G41" s="27">
        <v>2925</v>
      </c>
      <c r="H41" s="1"/>
      <c r="I41" s="1"/>
      <c r="J41" s="1"/>
      <c r="K41" s="1"/>
      <c r="L41" s="1"/>
    </row>
    <row r="42" spans="1:12" x14ac:dyDescent="0.25">
      <c r="A42" s="1"/>
      <c r="B42" s="34"/>
      <c r="C42" s="34"/>
      <c r="D42" s="35"/>
      <c r="E42" s="36"/>
      <c r="F42" s="17"/>
      <c r="G42" s="19"/>
      <c r="H42" s="1"/>
      <c r="I42" s="1"/>
      <c r="J42" s="1"/>
      <c r="K42" s="1"/>
      <c r="L42" s="1"/>
    </row>
    <row r="43" spans="1:12" x14ac:dyDescent="0.25">
      <c r="A43" s="1"/>
      <c r="B43" s="37" t="s">
        <v>243</v>
      </c>
      <c r="C43" s="38"/>
      <c r="D43" s="39"/>
      <c r="E43" s="36"/>
      <c r="F43" s="17"/>
      <c r="G43" s="19"/>
      <c r="H43" s="1"/>
      <c r="I43" s="1"/>
      <c r="J43" s="1"/>
      <c r="K43" s="1"/>
      <c r="L43" s="1"/>
    </row>
    <row r="44" spans="1:12" x14ac:dyDescent="0.25">
      <c r="A44" s="1"/>
      <c r="B44" s="21">
        <v>6</v>
      </c>
      <c r="C44" s="48">
        <v>150</v>
      </c>
      <c r="D44" s="49" t="s">
        <v>248</v>
      </c>
      <c r="E44" s="25">
        <v>5240</v>
      </c>
      <c r="F44" s="26"/>
      <c r="G44" s="27"/>
      <c r="H44" s="1"/>
      <c r="I44" s="1"/>
      <c r="J44" s="1"/>
      <c r="K44" s="1"/>
      <c r="L44" s="1"/>
    </row>
    <row r="45" spans="1:12" x14ac:dyDescent="0.25">
      <c r="A45" s="1"/>
      <c r="B45" s="34"/>
      <c r="C45" s="34"/>
      <c r="D45" s="35"/>
      <c r="E45" s="36"/>
      <c r="F45" s="17"/>
      <c r="G45" s="19"/>
      <c r="H45" s="1"/>
      <c r="I45" s="1"/>
      <c r="J45" s="1"/>
      <c r="K45" s="1"/>
      <c r="L45" s="1"/>
    </row>
    <row r="46" spans="1:12" x14ac:dyDescent="0.25">
      <c r="A46" s="1"/>
      <c r="B46" s="37" t="s">
        <v>256</v>
      </c>
      <c r="C46" s="38"/>
      <c r="D46" s="39"/>
      <c r="E46" s="36"/>
      <c r="F46" s="17"/>
      <c r="G46" s="19"/>
      <c r="H46" s="1"/>
      <c r="I46" s="1"/>
      <c r="J46" s="1"/>
      <c r="K46" s="1"/>
      <c r="L46" s="1"/>
    </row>
    <row r="47" spans="1:12" x14ac:dyDescent="0.25">
      <c r="A47" s="1"/>
      <c r="B47" s="60" t="s">
        <v>260</v>
      </c>
      <c r="C47" s="61" t="s">
        <v>263</v>
      </c>
      <c r="D47" s="49" t="s">
        <v>267</v>
      </c>
      <c r="E47" s="27">
        <v>46</v>
      </c>
      <c r="F47" s="26" t="s">
        <v>270</v>
      </c>
      <c r="G47" s="27">
        <v>54</v>
      </c>
      <c r="H47" s="1"/>
      <c r="I47" s="1"/>
      <c r="J47" s="1"/>
      <c r="K47" s="1"/>
      <c r="L47" s="1"/>
    </row>
    <row r="48" spans="1:12" x14ac:dyDescent="0.25">
      <c r="A48" s="1"/>
      <c r="B48" s="60" t="s">
        <v>274</v>
      </c>
      <c r="C48" s="62" t="s">
        <v>276</v>
      </c>
      <c r="D48" s="40" t="s">
        <v>278</v>
      </c>
      <c r="E48" s="27">
        <v>88</v>
      </c>
      <c r="F48" s="26" t="s">
        <v>281</v>
      </c>
      <c r="G48" s="27">
        <v>77</v>
      </c>
      <c r="H48" s="1"/>
      <c r="I48" s="1"/>
      <c r="J48" s="1"/>
      <c r="K48" s="1"/>
      <c r="L48" s="1"/>
    </row>
    <row r="49" spans="1:12" x14ac:dyDescent="0.25">
      <c r="A49" s="1"/>
      <c r="B49" s="60" t="s">
        <v>284</v>
      </c>
      <c r="C49" s="62" t="s">
        <v>286</v>
      </c>
      <c r="D49" s="40" t="s">
        <v>287</v>
      </c>
      <c r="E49" s="27">
        <v>168</v>
      </c>
      <c r="F49" s="26" t="s">
        <v>291</v>
      </c>
      <c r="G49" s="27">
        <v>165</v>
      </c>
      <c r="H49" s="1"/>
      <c r="I49" s="1"/>
      <c r="J49" s="1"/>
      <c r="K49" s="1"/>
      <c r="L49" s="1"/>
    </row>
    <row r="50" spans="1:12" x14ac:dyDescent="0.25">
      <c r="A50" s="1"/>
      <c r="B50" s="60" t="s">
        <v>293</v>
      </c>
      <c r="C50" s="62" t="s">
        <v>296</v>
      </c>
      <c r="D50" s="40" t="s">
        <v>297</v>
      </c>
      <c r="E50" s="27">
        <v>136</v>
      </c>
      <c r="F50" s="26" t="s">
        <v>300</v>
      </c>
      <c r="G50" s="27">
        <v>146</v>
      </c>
      <c r="H50" s="1"/>
      <c r="I50" s="1"/>
      <c r="J50" s="1"/>
      <c r="K50" s="1"/>
      <c r="L50" s="1"/>
    </row>
    <row r="51" spans="1:12" x14ac:dyDescent="0.25">
      <c r="A51" s="1"/>
      <c r="B51" s="60" t="s">
        <v>304</v>
      </c>
      <c r="C51" s="62" t="s">
        <v>306</v>
      </c>
      <c r="D51" s="40" t="s">
        <v>308</v>
      </c>
      <c r="E51" s="27">
        <v>228</v>
      </c>
      <c r="F51" s="26" t="s">
        <v>311</v>
      </c>
      <c r="G51" s="27">
        <v>183</v>
      </c>
      <c r="H51" s="1"/>
      <c r="I51" s="1"/>
      <c r="J51" s="1"/>
      <c r="K51" s="1"/>
      <c r="L51" s="1"/>
    </row>
    <row r="52" spans="1:12" x14ac:dyDescent="0.25">
      <c r="A52" s="1"/>
      <c r="B52" s="60" t="s">
        <v>314</v>
      </c>
      <c r="C52" s="62" t="s">
        <v>315</v>
      </c>
      <c r="D52" s="40" t="s">
        <v>317</v>
      </c>
      <c r="E52" s="27">
        <v>218</v>
      </c>
      <c r="F52" s="26" t="s">
        <v>322</v>
      </c>
      <c r="G52" s="27">
        <v>188</v>
      </c>
      <c r="H52" s="1"/>
      <c r="I52" s="1"/>
      <c r="J52" s="1"/>
      <c r="K52" s="1"/>
      <c r="L52" s="1"/>
    </row>
    <row r="53" spans="1:12" x14ac:dyDescent="0.25">
      <c r="A53" s="1"/>
      <c r="B53" s="60" t="s">
        <v>325</v>
      </c>
      <c r="C53" s="62" t="s">
        <v>326</v>
      </c>
      <c r="D53" s="40" t="s">
        <v>327</v>
      </c>
      <c r="E53" s="27">
        <v>228</v>
      </c>
      <c r="F53" s="26"/>
      <c r="G53" s="27">
        <v>225</v>
      </c>
      <c r="H53" s="1"/>
      <c r="I53" s="1"/>
      <c r="J53" s="1"/>
      <c r="K53" s="1"/>
      <c r="L53" s="1"/>
    </row>
    <row r="54" spans="1:12" x14ac:dyDescent="0.25">
      <c r="A54" s="1"/>
      <c r="B54" s="60" t="s">
        <v>330</v>
      </c>
      <c r="C54" s="62" t="s">
        <v>332</v>
      </c>
      <c r="D54" s="40" t="s">
        <v>333</v>
      </c>
      <c r="E54" s="27">
        <v>396</v>
      </c>
      <c r="F54" s="26"/>
      <c r="G54" s="27"/>
      <c r="H54" s="1"/>
      <c r="I54" s="1"/>
      <c r="J54" s="1"/>
      <c r="K54" s="1"/>
      <c r="L54" s="1"/>
    </row>
    <row r="55" spans="1:12" x14ac:dyDescent="0.25">
      <c r="A55" s="1"/>
      <c r="B55" s="60" t="s">
        <v>334</v>
      </c>
      <c r="C55" s="62" t="s">
        <v>335</v>
      </c>
      <c r="D55" s="40" t="s">
        <v>336</v>
      </c>
      <c r="E55" s="27">
        <v>396</v>
      </c>
      <c r="F55" s="26" t="s">
        <v>338</v>
      </c>
      <c r="G55" s="27">
        <v>390</v>
      </c>
      <c r="H55" s="1"/>
      <c r="I55" s="1"/>
      <c r="J55" s="1"/>
      <c r="K55" s="1"/>
      <c r="L55" s="1"/>
    </row>
    <row r="56" spans="1:12" x14ac:dyDescent="0.25">
      <c r="A56" s="1"/>
      <c r="B56" s="60" t="s">
        <v>339</v>
      </c>
      <c r="C56" s="62" t="s">
        <v>340</v>
      </c>
      <c r="D56" s="40" t="s">
        <v>341</v>
      </c>
      <c r="E56" s="27">
        <v>396</v>
      </c>
      <c r="F56" s="26" t="s">
        <v>342</v>
      </c>
      <c r="G56" s="27">
        <v>360</v>
      </c>
      <c r="H56" s="1"/>
      <c r="I56" s="1"/>
      <c r="J56" s="1"/>
      <c r="K56" s="1"/>
      <c r="L56" s="1"/>
    </row>
    <row r="57" spans="1:12" x14ac:dyDescent="0.25">
      <c r="A57" s="1"/>
      <c r="B57" s="60" t="s">
        <v>344</v>
      </c>
      <c r="C57" s="62" t="s">
        <v>345</v>
      </c>
      <c r="D57" s="40" t="s">
        <v>347</v>
      </c>
      <c r="E57" s="27">
        <v>396</v>
      </c>
      <c r="F57" s="26" t="s">
        <v>349</v>
      </c>
      <c r="G57" s="27">
        <v>338</v>
      </c>
      <c r="H57" s="1"/>
      <c r="I57" s="1"/>
      <c r="J57" s="1"/>
      <c r="K57" s="1"/>
      <c r="L57" s="1"/>
    </row>
    <row r="58" spans="1:12" x14ac:dyDescent="0.25">
      <c r="A58" s="1"/>
      <c r="B58" s="34"/>
      <c r="C58" s="34"/>
      <c r="D58" s="35"/>
      <c r="E58" s="36"/>
      <c r="F58" s="17"/>
      <c r="G58" s="19"/>
      <c r="H58" s="1"/>
      <c r="I58" s="1"/>
      <c r="J58" s="1"/>
      <c r="K58" s="1"/>
      <c r="L58" s="1"/>
    </row>
    <row r="59" spans="1:12" x14ac:dyDescent="0.25">
      <c r="A59" s="1"/>
      <c r="B59" s="37" t="s">
        <v>352</v>
      </c>
      <c r="C59" s="38"/>
      <c r="D59" s="39"/>
      <c r="E59" s="36"/>
      <c r="F59" s="17"/>
      <c r="G59" s="19"/>
      <c r="H59" s="1"/>
      <c r="I59" s="1"/>
      <c r="J59" s="1"/>
      <c r="K59" s="1"/>
      <c r="L59" s="1"/>
    </row>
    <row r="60" spans="1:12" x14ac:dyDescent="0.25">
      <c r="A60" s="1"/>
      <c r="B60" s="21" t="s">
        <v>16</v>
      </c>
      <c r="C60" s="21">
        <v>20</v>
      </c>
      <c r="D60" s="29" t="s">
        <v>355</v>
      </c>
      <c r="E60" s="27">
        <v>94</v>
      </c>
      <c r="F60" s="26" t="s">
        <v>358</v>
      </c>
      <c r="G60" s="27">
        <v>90</v>
      </c>
      <c r="H60" s="1"/>
      <c r="I60" s="1"/>
      <c r="J60" s="1"/>
      <c r="K60" s="1"/>
      <c r="L60" s="1"/>
    </row>
    <row r="61" spans="1:12" x14ac:dyDescent="0.25">
      <c r="A61" s="1"/>
      <c r="B61" s="21">
        <v>1</v>
      </c>
      <c r="C61" s="21">
        <v>25</v>
      </c>
      <c r="D61" s="29" t="s">
        <v>360</v>
      </c>
      <c r="E61" s="27">
        <v>116</v>
      </c>
      <c r="F61" s="26" t="s">
        <v>363</v>
      </c>
      <c r="G61" s="27">
        <v>128</v>
      </c>
      <c r="H61" s="1"/>
      <c r="I61" s="1"/>
      <c r="J61" s="1"/>
      <c r="K61" s="1"/>
      <c r="L61" s="1"/>
    </row>
    <row r="62" spans="1:12" x14ac:dyDescent="0.25">
      <c r="A62" s="1"/>
      <c r="B62" s="21" t="s">
        <v>27</v>
      </c>
      <c r="C62" s="21">
        <v>32</v>
      </c>
      <c r="D62" s="29" t="s">
        <v>364</v>
      </c>
      <c r="E62" s="27">
        <v>188</v>
      </c>
      <c r="F62" s="26" t="s">
        <v>367</v>
      </c>
      <c r="G62" s="27">
        <v>153</v>
      </c>
      <c r="H62" s="1"/>
      <c r="I62" s="1"/>
      <c r="J62" s="1"/>
      <c r="K62" s="1"/>
      <c r="L62" s="1"/>
    </row>
    <row r="63" spans="1:12" x14ac:dyDescent="0.25">
      <c r="A63" s="1"/>
      <c r="B63" s="21" t="s">
        <v>33</v>
      </c>
      <c r="C63" s="21">
        <v>40</v>
      </c>
      <c r="D63" s="29" t="s">
        <v>370</v>
      </c>
      <c r="E63" s="27">
        <v>308</v>
      </c>
      <c r="F63" s="26" t="s">
        <v>372</v>
      </c>
      <c r="G63" s="27">
        <v>278</v>
      </c>
      <c r="H63" s="1"/>
      <c r="I63" s="1"/>
      <c r="J63" s="1"/>
      <c r="K63" s="1"/>
      <c r="L63" s="1"/>
    </row>
    <row r="64" spans="1:12" x14ac:dyDescent="0.25">
      <c r="A64" s="1"/>
      <c r="B64" s="21">
        <v>2</v>
      </c>
      <c r="C64" s="21">
        <v>50</v>
      </c>
      <c r="D64" s="29" t="s">
        <v>374</v>
      </c>
      <c r="E64" s="27">
        <v>548</v>
      </c>
      <c r="F64" s="26" t="s">
        <v>375</v>
      </c>
      <c r="G64" s="27">
        <v>480</v>
      </c>
      <c r="H64" s="1"/>
      <c r="I64" s="1"/>
      <c r="J64" s="1"/>
      <c r="K64" s="1"/>
      <c r="L64" s="1"/>
    </row>
    <row r="65" spans="1:12" x14ac:dyDescent="0.25">
      <c r="A65" s="1"/>
      <c r="B65" s="21" t="s">
        <v>54</v>
      </c>
      <c r="C65" s="21">
        <v>65</v>
      </c>
      <c r="D65" s="29" t="s">
        <v>378</v>
      </c>
      <c r="E65" s="25">
        <v>1184</v>
      </c>
      <c r="F65" s="26"/>
      <c r="G65" s="63"/>
      <c r="H65" s="1"/>
      <c r="I65" s="1"/>
      <c r="J65" s="1"/>
      <c r="K65" s="1"/>
      <c r="L65" s="1"/>
    </row>
    <row r="66" spans="1:12" x14ac:dyDescent="0.25">
      <c r="A66" s="1"/>
      <c r="B66" s="21">
        <v>3</v>
      </c>
      <c r="C66" s="21">
        <v>80</v>
      </c>
      <c r="D66" s="29" t="s">
        <v>382</v>
      </c>
      <c r="E66" s="25">
        <v>1780</v>
      </c>
      <c r="F66" s="26"/>
      <c r="G66" s="63"/>
      <c r="H66" s="1"/>
      <c r="I66" s="1"/>
      <c r="J66" s="1"/>
      <c r="K66" s="1"/>
      <c r="L66" s="1"/>
    </row>
    <row r="67" spans="1:12" x14ac:dyDescent="0.25">
      <c r="A67" s="1"/>
      <c r="B67" s="21">
        <v>4</v>
      </c>
      <c r="C67" s="21">
        <v>100</v>
      </c>
      <c r="D67" s="29" t="s">
        <v>384</v>
      </c>
      <c r="E67" s="25">
        <v>2990</v>
      </c>
      <c r="F67" s="26"/>
      <c r="G67" s="63"/>
      <c r="H67" s="1"/>
      <c r="I67" s="1"/>
      <c r="J67" s="1"/>
      <c r="K67" s="1"/>
      <c r="L67" s="1"/>
    </row>
    <row r="68" spans="1:12" x14ac:dyDescent="0.25">
      <c r="A68" s="1"/>
      <c r="B68" s="34"/>
      <c r="C68" s="34"/>
      <c r="D68" s="35"/>
      <c r="E68" s="36"/>
      <c r="F68" s="17"/>
      <c r="G68" s="19"/>
      <c r="H68" s="1"/>
      <c r="I68" s="1"/>
      <c r="J68" s="1"/>
      <c r="K68" s="1"/>
      <c r="L68" s="1"/>
    </row>
    <row r="69" spans="1:12" x14ac:dyDescent="0.25">
      <c r="A69" s="1"/>
      <c r="B69" s="37" t="s">
        <v>387</v>
      </c>
      <c r="C69" s="38"/>
      <c r="D69" s="39"/>
      <c r="E69" s="36"/>
      <c r="F69" s="17"/>
      <c r="G69" s="19"/>
      <c r="H69" s="1"/>
      <c r="I69" s="1"/>
      <c r="J69" s="1"/>
      <c r="K69" s="1"/>
      <c r="L69" s="1"/>
    </row>
    <row r="70" spans="1:12" x14ac:dyDescent="0.25">
      <c r="A70" s="1"/>
      <c r="B70" s="21" t="s">
        <v>10</v>
      </c>
      <c r="C70" s="48">
        <v>15</v>
      </c>
      <c r="D70" s="49" t="s">
        <v>389</v>
      </c>
      <c r="E70" s="27">
        <v>14.8</v>
      </c>
      <c r="F70" s="26" t="s">
        <v>390</v>
      </c>
      <c r="G70" s="27">
        <v>13</v>
      </c>
      <c r="H70" s="1"/>
      <c r="I70" s="1"/>
      <c r="J70" s="1"/>
      <c r="K70" s="1"/>
      <c r="L70" s="1"/>
    </row>
    <row r="71" spans="1:12" x14ac:dyDescent="0.25">
      <c r="A71" s="1"/>
      <c r="B71" s="21" t="s">
        <v>16</v>
      </c>
      <c r="C71" s="28">
        <v>20</v>
      </c>
      <c r="D71" s="40" t="s">
        <v>392</v>
      </c>
      <c r="E71" s="27">
        <v>17.399999999999999</v>
      </c>
      <c r="F71" s="26" t="s">
        <v>393</v>
      </c>
      <c r="G71" s="27">
        <v>18</v>
      </c>
      <c r="H71" s="1"/>
      <c r="I71" s="1"/>
      <c r="J71" s="1"/>
      <c r="K71" s="1"/>
      <c r="L71" s="1"/>
    </row>
    <row r="72" spans="1:12" x14ac:dyDescent="0.25">
      <c r="A72" s="1"/>
      <c r="B72" s="21" t="s">
        <v>21</v>
      </c>
      <c r="C72" s="28">
        <v>25</v>
      </c>
      <c r="D72" s="40" t="s">
        <v>395</v>
      </c>
      <c r="E72" s="27">
        <v>28.4</v>
      </c>
      <c r="F72" s="26" t="s">
        <v>397</v>
      </c>
      <c r="G72" s="27">
        <v>32</v>
      </c>
      <c r="H72" s="1"/>
      <c r="I72" s="1"/>
      <c r="J72" s="1"/>
      <c r="K72" s="1"/>
      <c r="L72" s="1"/>
    </row>
    <row r="73" spans="1:12" x14ac:dyDescent="0.25">
      <c r="A73" s="1"/>
      <c r="B73" s="21" t="s">
        <v>27</v>
      </c>
      <c r="C73" s="28">
        <v>32</v>
      </c>
      <c r="D73" s="40" t="s">
        <v>398</v>
      </c>
      <c r="E73" s="27">
        <v>56.6</v>
      </c>
      <c r="F73" s="26" t="s">
        <v>400</v>
      </c>
      <c r="G73" s="27">
        <v>54</v>
      </c>
      <c r="H73" s="1"/>
      <c r="I73" s="1"/>
      <c r="J73" s="1"/>
      <c r="K73" s="1"/>
      <c r="L73" s="1"/>
    </row>
    <row r="74" spans="1:12" x14ac:dyDescent="0.25">
      <c r="A74" s="1"/>
      <c r="B74" s="21" t="s">
        <v>33</v>
      </c>
      <c r="C74" s="28">
        <v>40</v>
      </c>
      <c r="D74" s="40" t="s">
        <v>402</v>
      </c>
      <c r="E74" s="27">
        <v>99.8</v>
      </c>
      <c r="F74" s="26" t="s">
        <v>403</v>
      </c>
      <c r="G74" s="27">
        <v>99</v>
      </c>
      <c r="H74" s="1"/>
      <c r="I74" s="1"/>
      <c r="J74" s="1"/>
      <c r="K74" s="1"/>
      <c r="L74" s="1"/>
    </row>
    <row r="75" spans="1:12" x14ac:dyDescent="0.25">
      <c r="A75" s="1"/>
      <c r="B75" s="21" t="s">
        <v>38</v>
      </c>
      <c r="C75" s="28">
        <v>50</v>
      </c>
      <c r="D75" s="40" t="s">
        <v>405</v>
      </c>
      <c r="E75" s="27">
        <v>218</v>
      </c>
      <c r="F75" s="26" t="s">
        <v>406</v>
      </c>
      <c r="G75" s="27">
        <v>210</v>
      </c>
      <c r="H75" s="1"/>
      <c r="I75" s="1"/>
      <c r="J75" s="1"/>
      <c r="K75" s="1"/>
      <c r="L75" s="1"/>
    </row>
    <row r="76" spans="1:12" x14ac:dyDescent="0.25">
      <c r="A76" s="1"/>
      <c r="B76" s="34"/>
      <c r="C76" s="34"/>
      <c r="D76" s="35"/>
      <c r="E76" s="36"/>
      <c r="F76" s="17"/>
      <c r="G76" s="19"/>
      <c r="H76" s="1"/>
      <c r="I76" s="1"/>
      <c r="J76" s="1"/>
      <c r="K76" s="1"/>
      <c r="L76" s="1"/>
    </row>
    <row r="77" spans="1:12" x14ac:dyDescent="0.25">
      <c r="A77" s="1"/>
      <c r="B77" s="37" t="s">
        <v>409</v>
      </c>
      <c r="C77" s="38"/>
      <c r="D77" s="39"/>
      <c r="E77" s="36"/>
      <c r="F77" s="17"/>
      <c r="G77" s="19"/>
      <c r="H77" s="1"/>
      <c r="I77" s="1"/>
      <c r="J77" s="1"/>
      <c r="K77" s="1"/>
      <c r="L77" s="1"/>
    </row>
    <row r="78" spans="1:12" x14ac:dyDescent="0.25">
      <c r="A78" s="1"/>
      <c r="B78" s="21" t="s">
        <v>54</v>
      </c>
      <c r="C78" s="48">
        <v>65</v>
      </c>
      <c r="D78" s="49" t="s">
        <v>411</v>
      </c>
      <c r="E78" s="25">
        <v>618</v>
      </c>
      <c r="F78" s="26" t="s">
        <v>412</v>
      </c>
      <c r="G78" s="27">
        <v>522</v>
      </c>
      <c r="H78" s="1"/>
      <c r="I78" s="1"/>
      <c r="J78" s="1"/>
      <c r="K78" s="1"/>
      <c r="L78" s="1"/>
    </row>
    <row r="79" spans="1:12" x14ac:dyDescent="0.25">
      <c r="A79" s="1"/>
      <c r="B79" s="21">
        <v>3</v>
      </c>
      <c r="C79" s="28">
        <v>80</v>
      </c>
      <c r="D79" s="40" t="s">
        <v>414</v>
      </c>
      <c r="E79" s="25">
        <v>892</v>
      </c>
      <c r="F79" s="26" t="s">
        <v>416</v>
      </c>
      <c r="G79" s="27">
        <v>713</v>
      </c>
      <c r="H79" s="1"/>
      <c r="I79" s="1"/>
      <c r="J79" s="1"/>
      <c r="K79" s="1"/>
      <c r="L79" s="1"/>
    </row>
    <row r="80" spans="1:12" x14ac:dyDescent="0.25">
      <c r="A80" s="1"/>
      <c r="B80" s="21">
        <v>4</v>
      </c>
      <c r="C80" s="28">
        <v>100</v>
      </c>
      <c r="D80" s="40" t="s">
        <v>417</v>
      </c>
      <c r="E80" s="25">
        <v>1348</v>
      </c>
      <c r="F80" s="26" t="s">
        <v>418</v>
      </c>
      <c r="G80" s="27">
        <v>1065</v>
      </c>
      <c r="H80" s="1"/>
      <c r="I80" s="1"/>
      <c r="J80" s="1"/>
      <c r="K80" s="1"/>
      <c r="L80" s="1"/>
    </row>
    <row r="81" spans="1:12" x14ac:dyDescent="0.25">
      <c r="A81" s="1"/>
      <c r="B81" s="34"/>
      <c r="C81" s="34"/>
      <c r="D81" s="35"/>
      <c r="E81" s="36"/>
      <c r="F81" s="17"/>
      <c r="G81" s="19"/>
      <c r="H81" s="1"/>
      <c r="I81" s="1"/>
      <c r="J81" s="1"/>
      <c r="K81" s="1"/>
      <c r="L81" s="1"/>
    </row>
    <row r="82" spans="1:12" x14ac:dyDescent="0.25">
      <c r="A82" s="1"/>
      <c r="B82" s="37" t="s">
        <v>419</v>
      </c>
      <c r="C82" s="38"/>
      <c r="D82" s="39"/>
      <c r="E82" s="36"/>
      <c r="F82" s="17"/>
      <c r="G82" s="19"/>
      <c r="H82" s="1"/>
      <c r="I82" s="1"/>
      <c r="J82" s="1"/>
      <c r="K82" s="1"/>
      <c r="L82" s="1"/>
    </row>
    <row r="83" spans="1:12" x14ac:dyDescent="0.25">
      <c r="A83" s="1"/>
      <c r="B83" s="21">
        <v>6</v>
      </c>
      <c r="C83" s="48">
        <v>150</v>
      </c>
      <c r="D83" s="49" t="s">
        <v>420</v>
      </c>
      <c r="E83" s="25">
        <v>2170</v>
      </c>
      <c r="F83" s="26"/>
      <c r="G83" s="27"/>
      <c r="H83" s="1"/>
      <c r="I83" s="1"/>
      <c r="J83" s="1"/>
      <c r="K83" s="1"/>
      <c r="L83" s="1"/>
    </row>
    <row r="84" spans="1:12" x14ac:dyDescent="0.25">
      <c r="A84" s="1"/>
      <c r="B84" s="34"/>
      <c r="C84" s="34"/>
      <c r="D84" s="35"/>
      <c r="E84" s="36"/>
      <c r="F84" s="17"/>
      <c r="G84" s="19"/>
      <c r="H84" s="1"/>
      <c r="I84" s="1"/>
      <c r="J84" s="1"/>
      <c r="K84" s="1"/>
      <c r="L84" s="1"/>
    </row>
    <row r="85" spans="1:12" x14ac:dyDescent="0.25">
      <c r="A85" s="1"/>
      <c r="B85" s="37" t="s">
        <v>422</v>
      </c>
      <c r="C85" s="38"/>
      <c r="D85" s="39"/>
      <c r="E85" s="36"/>
      <c r="F85" s="17"/>
      <c r="G85" s="19"/>
      <c r="H85" s="1"/>
      <c r="I85" s="1"/>
      <c r="J85" s="1"/>
      <c r="K85" s="1"/>
      <c r="L85" s="1"/>
    </row>
    <row r="86" spans="1:12" x14ac:dyDescent="0.25">
      <c r="A86" s="1"/>
      <c r="B86" s="21" t="s">
        <v>43</v>
      </c>
      <c r="C86" s="48" t="s">
        <v>44</v>
      </c>
      <c r="D86" s="49" t="s">
        <v>424</v>
      </c>
      <c r="E86" s="27">
        <v>22</v>
      </c>
      <c r="F86" s="26" t="s">
        <v>425</v>
      </c>
      <c r="G86" s="27">
        <v>20</v>
      </c>
      <c r="H86" s="1"/>
      <c r="I86" s="1"/>
      <c r="J86" s="1"/>
      <c r="K86" s="1"/>
      <c r="L86" s="1"/>
    </row>
    <row r="87" spans="1:12" x14ac:dyDescent="0.25">
      <c r="A87" s="1"/>
      <c r="B87" s="20" t="s">
        <v>102</v>
      </c>
      <c r="C87" s="28" t="s">
        <v>104</v>
      </c>
      <c r="D87" s="40" t="s">
        <v>426</v>
      </c>
      <c r="E87" s="27">
        <v>39</v>
      </c>
      <c r="F87" s="26" t="s">
        <v>428</v>
      </c>
      <c r="G87" s="27">
        <v>38</v>
      </c>
      <c r="H87" s="1"/>
      <c r="I87" s="1"/>
      <c r="J87" s="1"/>
      <c r="K87" s="1"/>
      <c r="L87" s="1"/>
    </row>
    <row r="88" spans="1:12" x14ac:dyDescent="0.25">
      <c r="A88" s="1"/>
      <c r="B88" s="20" t="s">
        <v>200</v>
      </c>
      <c r="C88" s="28" t="s">
        <v>201</v>
      </c>
      <c r="D88" s="40" t="s">
        <v>432</v>
      </c>
      <c r="E88" s="27">
        <v>79</v>
      </c>
      <c r="F88" s="26" t="s">
        <v>434</v>
      </c>
      <c r="G88" s="27">
        <v>78</v>
      </c>
      <c r="H88" s="1"/>
      <c r="I88" s="1"/>
      <c r="J88" s="1"/>
      <c r="K88" s="1"/>
      <c r="L88" s="1"/>
    </row>
    <row r="89" spans="1:12" x14ac:dyDescent="0.25">
      <c r="A89" s="1"/>
      <c r="B89" s="20" t="s">
        <v>210</v>
      </c>
      <c r="C89" s="28" t="s">
        <v>211</v>
      </c>
      <c r="D89" s="40" t="s">
        <v>437</v>
      </c>
      <c r="E89" s="27">
        <v>81.8</v>
      </c>
      <c r="F89" s="26" t="s">
        <v>439</v>
      </c>
      <c r="G89" s="27">
        <v>84</v>
      </c>
      <c r="H89" s="1"/>
      <c r="I89" s="1"/>
      <c r="J89" s="1"/>
      <c r="K89" s="1"/>
      <c r="L89" s="1"/>
    </row>
    <row r="90" spans="1:12" x14ac:dyDescent="0.25">
      <c r="A90" s="1"/>
      <c r="B90" s="20" t="s">
        <v>226</v>
      </c>
      <c r="C90" s="28" t="s">
        <v>227</v>
      </c>
      <c r="D90" s="40" t="s">
        <v>442</v>
      </c>
      <c r="E90" s="27">
        <v>116</v>
      </c>
      <c r="F90" s="26" t="s">
        <v>444</v>
      </c>
      <c r="G90" s="27">
        <v>135</v>
      </c>
      <c r="H90" s="1"/>
      <c r="I90" s="1"/>
      <c r="J90" s="1"/>
      <c r="K90" s="1"/>
      <c r="L90" s="1"/>
    </row>
    <row r="91" spans="1:12" x14ac:dyDescent="0.25">
      <c r="A91" s="1"/>
      <c r="B91" s="20" t="s">
        <v>233</v>
      </c>
      <c r="C91" s="28" t="s">
        <v>234</v>
      </c>
      <c r="D91" s="40" t="s">
        <v>446</v>
      </c>
      <c r="E91" s="27">
        <v>119</v>
      </c>
      <c r="F91" s="26" t="s">
        <v>447</v>
      </c>
      <c r="G91" s="27">
        <v>134</v>
      </c>
      <c r="H91" s="1"/>
      <c r="I91" s="1"/>
      <c r="J91" s="1"/>
      <c r="K91" s="1"/>
      <c r="L91" s="1"/>
    </row>
    <row r="92" spans="1:12" x14ac:dyDescent="0.25">
      <c r="A92" s="1"/>
      <c r="B92" s="20" t="s">
        <v>240</v>
      </c>
      <c r="C92" s="28" t="s">
        <v>241</v>
      </c>
      <c r="D92" s="40" t="s">
        <v>448</v>
      </c>
      <c r="E92" s="27">
        <v>114</v>
      </c>
      <c r="F92" s="26"/>
      <c r="G92" s="27"/>
      <c r="H92" s="1"/>
      <c r="I92" s="1"/>
      <c r="J92" s="1"/>
      <c r="K92" s="1"/>
      <c r="L92" s="1"/>
    </row>
    <row r="93" spans="1:12" x14ac:dyDescent="0.25">
      <c r="A93" s="1"/>
      <c r="B93" s="20" t="s">
        <v>449</v>
      </c>
      <c r="C93" s="28" t="s">
        <v>450</v>
      </c>
      <c r="D93" s="40" t="s">
        <v>451</v>
      </c>
      <c r="E93" s="27">
        <v>244</v>
      </c>
      <c r="F93" s="26"/>
      <c r="G93" s="27"/>
      <c r="H93" s="1"/>
      <c r="I93" s="1"/>
      <c r="J93" s="1"/>
      <c r="K93" s="1"/>
      <c r="L93" s="1"/>
    </row>
    <row r="94" spans="1:12" x14ac:dyDescent="0.25">
      <c r="A94" s="1"/>
      <c r="B94" s="20" t="s">
        <v>453</v>
      </c>
      <c r="C94" s="28" t="s">
        <v>454</v>
      </c>
      <c r="D94" s="40" t="s">
        <v>455</v>
      </c>
      <c r="E94" s="27">
        <v>244</v>
      </c>
      <c r="F94" s="53" t="s">
        <v>456</v>
      </c>
      <c r="G94" s="27">
        <v>225</v>
      </c>
      <c r="H94" s="1"/>
      <c r="I94" s="1"/>
      <c r="J94" s="1"/>
      <c r="K94" s="1"/>
      <c r="L94" s="1"/>
    </row>
    <row r="95" spans="1:12" x14ac:dyDescent="0.25">
      <c r="A95" s="1"/>
      <c r="B95" s="20" t="s">
        <v>458</v>
      </c>
      <c r="C95" s="28" t="s">
        <v>459</v>
      </c>
      <c r="D95" s="40" t="s">
        <v>460</v>
      </c>
      <c r="E95" s="27">
        <v>244</v>
      </c>
      <c r="F95" s="26" t="s">
        <v>462</v>
      </c>
      <c r="G95" s="27">
        <v>246</v>
      </c>
      <c r="H95" s="1"/>
      <c r="I95" s="1"/>
      <c r="J95" s="1"/>
      <c r="K95" s="1"/>
      <c r="L95" s="1"/>
    </row>
    <row r="96" spans="1:12" x14ac:dyDescent="0.25">
      <c r="A96" s="1"/>
      <c r="B96" s="20" t="s">
        <v>463</v>
      </c>
      <c r="C96" s="28" t="s">
        <v>464</v>
      </c>
      <c r="D96" s="40" t="s">
        <v>465</v>
      </c>
      <c r="E96" s="27">
        <v>248</v>
      </c>
      <c r="F96" s="26"/>
      <c r="G96" s="27"/>
      <c r="H96" s="1"/>
      <c r="I96" s="1"/>
      <c r="J96" s="1"/>
      <c r="K96" s="1"/>
      <c r="L96" s="1"/>
    </row>
    <row r="97" spans="1:12" x14ac:dyDescent="0.25">
      <c r="A97" s="1"/>
      <c r="B97" s="34"/>
      <c r="C97" s="34"/>
      <c r="D97" s="35"/>
      <c r="E97" s="36"/>
      <c r="F97" s="17"/>
      <c r="G97" s="19"/>
      <c r="H97" s="1"/>
      <c r="I97" s="1"/>
      <c r="J97" s="1"/>
      <c r="K97" s="1"/>
      <c r="L97" s="1"/>
    </row>
    <row r="98" spans="1:12" x14ac:dyDescent="0.25">
      <c r="A98" s="1"/>
      <c r="B98" s="37" t="s">
        <v>470</v>
      </c>
      <c r="C98" s="38"/>
      <c r="D98" s="39"/>
      <c r="E98" s="36"/>
      <c r="F98" s="17"/>
      <c r="G98" s="19"/>
      <c r="H98" s="1"/>
      <c r="I98" s="1"/>
      <c r="J98" s="1"/>
      <c r="K98" s="1"/>
      <c r="L98" s="1"/>
    </row>
    <row r="99" spans="1:12" x14ac:dyDescent="0.25">
      <c r="A99" s="1"/>
      <c r="B99" s="60" t="s">
        <v>16</v>
      </c>
      <c r="C99" s="61" t="s">
        <v>474</v>
      </c>
      <c r="D99" s="49" t="s">
        <v>475</v>
      </c>
      <c r="E99" s="27">
        <v>28.4</v>
      </c>
      <c r="F99" s="26" t="s">
        <v>476</v>
      </c>
      <c r="G99" s="27">
        <v>12</v>
      </c>
      <c r="H99" s="1"/>
      <c r="I99" s="1"/>
      <c r="J99" s="1"/>
      <c r="K99" s="1"/>
      <c r="L99" s="1"/>
    </row>
    <row r="100" spans="1:12" x14ac:dyDescent="0.25">
      <c r="A100" s="1"/>
      <c r="B100" s="64" t="s">
        <v>21</v>
      </c>
      <c r="C100" s="62" t="s">
        <v>478</v>
      </c>
      <c r="D100" s="40" t="s">
        <v>479</v>
      </c>
      <c r="E100" s="27">
        <v>38.799999999999997</v>
      </c>
      <c r="F100" s="26" t="s">
        <v>480</v>
      </c>
      <c r="G100" s="27">
        <v>23</v>
      </c>
      <c r="H100" s="1"/>
      <c r="I100" s="1"/>
      <c r="J100" s="1"/>
      <c r="K100" s="1"/>
      <c r="L100" s="1"/>
    </row>
    <row r="101" spans="1:12" x14ac:dyDescent="0.25">
      <c r="A101" s="1"/>
      <c r="B101" s="64" t="s">
        <v>21</v>
      </c>
      <c r="C101" s="62" t="s">
        <v>478</v>
      </c>
      <c r="D101" s="40" t="s">
        <v>481</v>
      </c>
      <c r="E101" s="27">
        <v>28.4</v>
      </c>
      <c r="F101" s="26"/>
      <c r="G101" s="27"/>
      <c r="H101" s="1"/>
      <c r="I101" s="1"/>
      <c r="J101" s="1"/>
      <c r="K101" s="1"/>
      <c r="L101" s="1"/>
    </row>
    <row r="102" spans="1:12" x14ac:dyDescent="0.25">
      <c r="A102" s="1"/>
      <c r="B102" s="64" t="s">
        <v>27</v>
      </c>
      <c r="C102" s="62" t="s">
        <v>483</v>
      </c>
      <c r="D102" s="40" t="s">
        <v>484</v>
      </c>
      <c r="E102" s="27">
        <v>46.4</v>
      </c>
      <c r="F102" s="26" t="s">
        <v>486</v>
      </c>
      <c r="G102" s="27">
        <v>42</v>
      </c>
      <c r="H102" s="1"/>
      <c r="I102" s="1"/>
      <c r="J102" s="1"/>
      <c r="K102" s="1"/>
      <c r="L102" s="1"/>
    </row>
    <row r="103" spans="1:12" x14ac:dyDescent="0.25">
      <c r="A103" s="1"/>
      <c r="B103" s="34"/>
      <c r="C103" s="34"/>
      <c r="D103" s="35"/>
      <c r="E103" s="36"/>
      <c r="F103" s="17"/>
      <c r="G103" s="19"/>
      <c r="H103" s="1"/>
      <c r="I103" s="1"/>
      <c r="J103" s="1"/>
      <c r="K103" s="1"/>
      <c r="L103" s="1"/>
    </row>
    <row r="104" spans="1:12" x14ac:dyDescent="0.25">
      <c r="A104" s="1"/>
      <c r="B104" s="37" t="s">
        <v>488</v>
      </c>
      <c r="C104" s="38"/>
      <c r="D104" s="39"/>
      <c r="E104" s="36"/>
      <c r="F104" s="17"/>
      <c r="G104" s="19"/>
      <c r="H104" s="1"/>
      <c r="I104" s="1"/>
      <c r="J104" s="1"/>
      <c r="K104" s="1"/>
      <c r="L104" s="1"/>
    </row>
    <row r="105" spans="1:12" x14ac:dyDescent="0.25">
      <c r="A105" s="1"/>
      <c r="B105" s="21" t="s">
        <v>10</v>
      </c>
      <c r="C105" s="48">
        <v>15</v>
      </c>
      <c r="D105" s="49" t="s">
        <v>492</v>
      </c>
      <c r="E105" s="27">
        <v>10.8</v>
      </c>
      <c r="F105" s="26" t="s">
        <v>493</v>
      </c>
      <c r="G105" s="27">
        <v>9</v>
      </c>
      <c r="H105" s="1"/>
      <c r="I105" s="1"/>
      <c r="J105" s="1"/>
      <c r="K105" s="1"/>
      <c r="L105" s="1"/>
    </row>
    <row r="106" spans="1:12" x14ac:dyDescent="0.25">
      <c r="A106" s="1"/>
      <c r="B106" s="20" t="s">
        <v>16</v>
      </c>
      <c r="C106" s="28">
        <v>20</v>
      </c>
      <c r="D106" s="40" t="s">
        <v>494</v>
      </c>
      <c r="E106" s="27">
        <v>13.8</v>
      </c>
      <c r="F106" s="26" t="s">
        <v>496</v>
      </c>
      <c r="G106" s="27">
        <v>16</v>
      </c>
      <c r="H106" s="1"/>
      <c r="I106" s="1"/>
      <c r="J106" s="1"/>
      <c r="K106" s="1"/>
      <c r="L106" s="1"/>
    </row>
    <row r="107" spans="1:12" x14ac:dyDescent="0.25">
      <c r="A107" s="1"/>
      <c r="B107" s="20" t="s">
        <v>21</v>
      </c>
      <c r="C107" s="28">
        <v>25</v>
      </c>
      <c r="D107" s="40" t="s">
        <v>498</v>
      </c>
      <c r="E107" s="27">
        <v>24.6</v>
      </c>
      <c r="F107" s="26" t="s">
        <v>499</v>
      </c>
      <c r="G107" s="27">
        <v>25</v>
      </c>
      <c r="H107" s="1"/>
      <c r="I107" s="1"/>
      <c r="J107" s="1"/>
      <c r="K107" s="1"/>
      <c r="L107" s="1"/>
    </row>
    <row r="108" spans="1:12" x14ac:dyDescent="0.25">
      <c r="A108" s="1"/>
      <c r="B108" s="20" t="s">
        <v>27</v>
      </c>
      <c r="C108" s="28">
        <v>32</v>
      </c>
      <c r="D108" s="40" t="s">
        <v>500</v>
      </c>
      <c r="E108" s="27">
        <v>48.4</v>
      </c>
      <c r="F108" s="26" t="s">
        <v>501</v>
      </c>
      <c r="G108" s="27">
        <v>48</v>
      </c>
      <c r="H108" s="1"/>
      <c r="I108" s="1"/>
      <c r="J108" s="1"/>
      <c r="K108" s="1"/>
      <c r="L108" s="1"/>
    </row>
    <row r="109" spans="1:12" x14ac:dyDescent="0.25">
      <c r="A109" s="1"/>
      <c r="B109" s="20" t="s">
        <v>33</v>
      </c>
      <c r="C109" s="28">
        <v>40</v>
      </c>
      <c r="D109" s="40" t="s">
        <v>503</v>
      </c>
      <c r="E109" s="27">
        <v>69.900000000000006</v>
      </c>
      <c r="F109" s="26" t="s">
        <v>505</v>
      </c>
      <c r="G109" s="27">
        <v>59</v>
      </c>
      <c r="H109" s="1"/>
      <c r="I109" s="1"/>
      <c r="J109" s="1"/>
      <c r="K109" s="1"/>
      <c r="L109" s="1"/>
    </row>
    <row r="110" spans="1:12" x14ac:dyDescent="0.25">
      <c r="A110" s="1"/>
      <c r="B110" s="20" t="s">
        <v>38</v>
      </c>
      <c r="C110" s="28">
        <v>50</v>
      </c>
      <c r="D110" s="40" t="s">
        <v>506</v>
      </c>
      <c r="E110" s="27">
        <v>148</v>
      </c>
      <c r="F110" s="26" t="s">
        <v>508</v>
      </c>
      <c r="G110" s="27">
        <v>128</v>
      </c>
      <c r="H110" s="1"/>
      <c r="I110" s="1"/>
      <c r="J110" s="1"/>
      <c r="K110" s="1"/>
      <c r="L110" s="1"/>
    </row>
    <row r="111" spans="1:12" x14ac:dyDescent="0.25">
      <c r="A111" s="1"/>
      <c r="B111" s="34"/>
      <c r="C111" s="34"/>
      <c r="D111" s="35"/>
      <c r="E111" s="36"/>
      <c r="F111" s="17"/>
      <c r="G111" s="19"/>
      <c r="H111" s="1"/>
      <c r="I111" s="1"/>
      <c r="J111" s="1"/>
      <c r="K111" s="1"/>
      <c r="L111" s="1"/>
    </row>
    <row r="112" spans="1:12" x14ac:dyDescent="0.25">
      <c r="A112" s="1"/>
      <c r="B112" s="37" t="s">
        <v>509</v>
      </c>
      <c r="C112" s="38"/>
      <c r="D112" s="39"/>
      <c r="E112" s="36"/>
      <c r="F112" s="17"/>
      <c r="G112" s="19"/>
      <c r="H112" s="1"/>
      <c r="I112" s="1"/>
      <c r="J112" s="1"/>
      <c r="K112" s="1"/>
      <c r="L112" s="1"/>
    </row>
    <row r="113" spans="1:12" x14ac:dyDescent="0.25">
      <c r="A113" s="1"/>
      <c r="B113" s="21" t="s">
        <v>54</v>
      </c>
      <c r="C113" s="48">
        <v>65</v>
      </c>
      <c r="D113" s="49" t="s">
        <v>513</v>
      </c>
      <c r="E113" s="27">
        <v>398</v>
      </c>
      <c r="F113" s="26" t="s">
        <v>514</v>
      </c>
      <c r="G113" s="27">
        <v>375</v>
      </c>
      <c r="H113" s="1"/>
      <c r="I113" s="1"/>
      <c r="J113" s="1"/>
      <c r="K113" s="1"/>
      <c r="L113" s="1"/>
    </row>
    <row r="114" spans="1:12" x14ac:dyDescent="0.25">
      <c r="A114" s="1"/>
      <c r="B114" s="20">
        <v>3</v>
      </c>
      <c r="C114" s="28">
        <v>80</v>
      </c>
      <c r="D114" s="40" t="s">
        <v>515</v>
      </c>
      <c r="E114" s="27">
        <v>588</v>
      </c>
      <c r="F114" s="26" t="s">
        <v>517</v>
      </c>
      <c r="G114" s="27">
        <v>533</v>
      </c>
      <c r="H114" s="1"/>
      <c r="I114" s="1"/>
      <c r="J114" s="1"/>
      <c r="K114" s="1"/>
      <c r="L114" s="1"/>
    </row>
    <row r="115" spans="1:12" x14ac:dyDescent="0.25">
      <c r="A115" s="1"/>
      <c r="B115" s="20">
        <v>4</v>
      </c>
      <c r="C115" s="28">
        <v>100</v>
      </c>
      <c r="D115" s="40" t="s">
        <v>518</v>
      </c>
      <c r="E115" s="27">
        <v>968</v>
      </c>
      <c r="F115" s="26" t="s">
        <v>519</v>
      </c>
      <c r="G115" s="27">
        <v>938</v>
      </c>
      <c r="H115" s="1"/>
      <c r="I115" s="1"/>
      <c r="J115" s="1"/>
      <c r="K115" s="1"/>
      <c r="L115" s="1"/>
    </row>
    <row r="116" spans="1:12" x14ac:dyDescent="0.25">
      <c r="A116" s="1"/>
      <c r="B116" s="34"/>
      <c r="C116" s="34"/>
      <c r="D116" s="35"/>
      <c r="E116" s="36"/>
      <c r="F116" s="17"/>
      <c r="G116" s="19"/>
      <c r="H116" s="1"/>
      <c r="I116" s="1"/>
      <c r="J116" s="1"/>
      <c r="K116" s="1"/>
      <c r="L116" s="1"/>
    </row>
    <row r="117" spans="1:12" x14ac:dyDescent="0.25">
      <c r="A117" s="1"/>
      <c r="B117" s="37" t="s">
        <v>522</v>
      </c>
      <c r="C117" s="38"/>
      <c r="D117" s="39"/>
      <c r="E117" s="36"/>
      <c r="F117" s="17"/>
      <c r="G117" s="19"/>
      <c r="H117" s="1"/>
      <c r="I117" s="1"/>
      <c r="J117" s="1"/>
      <c r="K117" s="1"/>
      <c r="L117" s="1"/>
    </row>
    <row r="118" spans="1:12" x14ac:dyDescent="0.25">
      <c r="A118" s="1"/>
      <c r="B118" s="21" t="s">
        <v>102</v>
      </c>
      <c r="C118" s="48" t="s">
        <v>104</v>
      </c>
      <c r="D118" s="49" t="s">
        <v>523</v>
      </c>
      <c r="E118" s="27">
        <v>19.399999999999999</v>
      </c>
      <c r="F118" s="26" t="s">
        <v>525</v>
      </c>
      <c r="G118" s="27">
        <v>21</v>
      </c>
      <c r="H118" s="1"/>
      <c r="I118" s="1"/>
      <c r="J118" s="1"/>
      <c r="K118" s="1"/>
      <c r="L118" s="1"/>
    </row>
    <row r="119" spans="1:12" x14ac:dyDescent="0.25">
      <c r="A119" s="1"/>
      <c r="B119" s="20" t="s">
        <v>192</v>
      </c>
      <c r="C119" s="28" t="s">
        <v>193</v>
      </c>
      <c r="D119" s="40" t="s">
        <v>526</v>
      </c>
      <c r="E119" s="27">
        <v>48.4</v>
      </c>
      <c r="H119" s="1"/>
      <c r="I119" s="1"/>
      <c r="J119" s="1"/>
      <c r="K119" s="1"/>
      <c r="L119" s="1"/>
    </row>
    <row r="120" spans="1:12" x14ac:dyDescent="0.25">
      <c r="A120" s="1"/>
      <c r="B120" s="20" t="s">
        <v>200</v>
      </c>
      <c r="C120" s="28" t="s">
        <v>201</v>
      </c>
      <c r="D120" s="40" t="s">
        <v>529</v>
      </c>
      <c r="E120" s="27">
        <v>38.4</v>
      </c>
      <c r="F120" s="26" t="s">
        <v>530</v>
      </c>
      <c r="G120" s="27">
        <v>41</v>
      </c>
      <c r="H120" s="1"/>
      <c r="I120" s="1"/>
      <c r="J120" s="1"/>
      <c r="K120" s="1"/>
      <c r="L120" s="1"/>
    </row>
    <row r="121" spans="1:12" x14ac:dyDescent="0.25">
      <c r="A121" s="1"/>
      <c r="B121" s="20" t="s">
        <v>210</v>
      </c>
      <c r="C121" s="28" t="s">
        <v>211</v>
      </c>
      <c r="D121" s="40" t="s">
        <v>532</v>
      </c>
      <c r="E121" s="27">
        <v>34.4</v>
      </c>
      <c r="F121" s="26" t="s">
        <v>533</v>
      </c>
      <c r="G121" s="27">
        <v>33</v>
      </c>
      <c r="H121" s="1"/>
      <c r="I121" s="1"/>
      <c r="J121" s="1"/>
      <c r="K121" s="1"/>
      <c r="L121" s="1"/>
    </row>
    <row r="122" spans="1:12" x14ac:dyDescent="0.25">
      <c r="A122" s="1"/>
      <c r="B122" s="20" t="s">
        <v>220</v>
      </c>
      <c r="C122" s="28" t="s">
        <v>221</v>
      </c>
      <c r="D122" s="40" t="s">
        <v>534</v>
      </c>
      <c r="E122" s="27">
        <v>79.400000000000006</v>
      </c>
      <c r="F122" s="26"/>
      <c r="G122" s="27"/>
      <c r="H122" s="1"/>
      <c r="I122" s="1"/>
      <c r="J122" s="1"/>
      <c r="K122" s="1"/>
      <c r="L122" s="1"/>
    </row>
    <row r="123" spans="1:12" x14ac:dyDescent="0.25">
      <c r="A123" s="1"/>
      <c r="B123" s="20" t="s">
        <v>226</v>
      </c>
      <c r="C123" s="28" t="s">
        <v>227</v>
      </c>
      <c r="D123" s="40" t="s">
        <v>536</v>
      </c>
      <c r="E123" s="27">
        <v>59.2</v>
      </c>
      <c r="F123" s="26" t="s">
        <v>537</v>
      </c>
      <c r="G123" s="27">
        <v>54</v>
      </c>
      <c r="H123" s="1"/>
      <c r="I123" s="1"/>
      <c r="J123" s="1"/>
      <c r="K123" s="1"/>
      <c r="L123" s="1"/>
    </row>
    <row r="124" spans="1:12" x14ac:dyDescent="0.25">
      <c r="A124" s="1"/>
      <c r="B124" s="20" t="s">
        <v>233</v>
      </c>
      <c r="C124" s="28" t="s">
        <v>234</v>
      </c>
      <c r="D124" s="40" t="s">
        <v>539</v>
      </c>
      <c r="E124" s="27">
        <v>59.4</v>
      </c>
      <c r="F124" s="26" t="s">
        <v>540</v>
      </c>
      <c r="G124" s="27">
        <v>53</v>
      </c>
      <c r="H124" s="1"/>
      <c r="I124" s="1"/>
      <c r="J124" s="1"/>
      <c r="K124" s="1"/>
      <c r="L124" s="1"/>
    </row>
    <row r="125" spans="1:12" x14ac:dyDescent="0.25">
      <c r="A125" s="1"/>
      <c r="B125" s="20" t="s">
        <v>240</v>
      </c>
      <c r="C125" s="28" t="s">
        <v>241</v>
      </c>
      <c r="D125" s="40" t="s">
        <v>542</v>
      </c>
      <c r="E125" s="27">
        <v>44.4</v>
      </c>
      <c r="F125" s="26" t="s">
        <v>543</v>
      </c>
      <c r="G125" s="27">
        <v>45</v>
      </c>
      <c r="H125" s="1"/>
      <c r="I125" s="1"/>
      <c r="J125" s="1"/>
      <c r="K125" s="1"/>
      <c r="L125" s="1"/>
    </row>
    <row r="126" spans="1:12" x14ac:dyDescent="0.25">
      <c r="A126" s="1"/>
      <c r="B126" s="20" t="s">
        <v>449</v>
      </c>
      <c r="C126" s="28" t="s">
        <v>450</v>
      </c>
      <c r="D126" s="40" t="s">
        <v>545</v>
      </c>
      <c r="E126" s="27">
        <v>118</v>
      </c>
      <c r="F126" s="26"/>
      <c r="G126" s="27"/>
      <c r="H126" s="1"/>
      <c r="I126" s="1"/>
      <c r="J126" s="1"/>
      <c r="K126" s="1"/>
      <c r="L126" s="1"/>
    </row>
    <row r="127" spans="1:12" x14ac:dyDescent="0.25">
      <c r="A127" s="1"/>
      <c r="B127" s="20" t="s">
        <v>453</v>
      </c>
      <c r="C127" s="28" t="s">
        <v>454</v>
      </c>
      <c r="D127" s="40" t="s">
        <v>547</v>
      </c>
      <c r="E127" s="27">
        <v>118</v>
      </c>
      <c r="F127" s="26" t="s">
        <v>549</v>
      </c>
      <c r="G127" s="27">
        <v>105</v>
      </c>
      <c r="H127" s="1"/>
      <c r="I127" s="1"/>
      <c r="J127" s="1"/>
      <c r="K127" s="1"/>
      <c r="L127" s="1"/>
    </row>
    <row r="128" spans="1:12" x14ac:dyDescent="0.25">
      <c r="A128" s="1"/>
      <c r="B128" s="20" t="s">
        <v>458</v>
      </c>
      <c r="C128" s="28" t="s">
        <v>459</v>
      </c>
      <c r="D128" s="40" t="s">
        <v>551</v>
      </c>
      <c r="E128" s="27">
        <v>128</v>
      </c>
      <c r="F128" s="26" t="s">
        <v>552</v>
      </c>
      <c r="G128" s="27">
        <v>113</v>
      </c>
      <c r="H128" s="1"/>
      <c r="I128" s="1"/>
      <c r="J128" s="1"/>
      <c r="K128" s="1"/>
      <c r="L128" s="1"/>
    </row>
    <row r="129" spans="1:12" x14ac:dyDescent="0.25">
      <c r="A129" s="1"/>
      <c r="B129" s="20" t="s">
        <v>463</v>
      </c>
      <c r="C129" s="28" t="s">
        <v>464</v>
      </c>
      <c r="D129" s="40" t="s">
        <v>554</v>
      </c>
      <c r="E129" s="27">
        <v>106</v>
      </c>
      <c r="F129" s="26" t="s">
        <v>556</v>
      </c>
      <c r="G129" s="27">
        <v>102</v>
      </c>
      <c r="H129" s="1"/>
      <c r="I129" s="1"/>
      <c r="J129" s="1"/>
      <c r="K129" s="1"/>
      <c r="L129" s="1"/>
    </row>
    <row r="130" spans="1:12" x14ac:dyDescent="0.25">
      <c r="A130" s="1"/>
      <c r="B130" s="34"/>
      <c r="C130" s="34"/>
      <c r="D130" s="35"/>
      <c r="E130" s="36"/>
      <c r="F130" s="17"/>
      <c r="G130" s="19"/>
      <c r="H130" s="1"/>
      <c r="I130" s="1"/>
      <c r="J130" s="1"/>
      <c r="K130" s="1"/>
      <c r="L130" s="1"/>
    </row>
    <row r="131" spans="1:12" x14ac:dyDescent="0.25">
      <c r="A131" s="1"/>
      <c r="B131" s="37" t="s">
        <v>558</v>
      </c>
      <c r="C131" s="38"/>
      <c r="D131" s="39"/>
      <c r="E131" s="36"/>
      <c r="F131" s="17"/>
      <c r="G131" s="19"/>
      <c r="H131" s="1"/>
      <c r="I131" s="1"/>
      <c r="J131" s="1"/>
      <c r="K131" s="1"/>
      <c r="L131" s="1"/>
    </row>
    <row r="132" spans="1:12" x14ac:dyDescent="0.25">
      <c r="A132" s="1"/>
      <c r="B132" s="21" t="s">
        <v>560</v>
      </c>
      <c r="C132" s="48" t="s">
        <v>561</v>
      </c>
      <c r="D132" s="49" t="s">
        <v>562</v>
      </c>
      <c r="E132" s="25">
        <v>348</v>
      </c>
      <c r="F132" s="26"/>
      <c r="G132" s="27"/>
      <c r="H132" s="1"/>
      <c r="I132" s="1"/>
      <c r="J132" s="1"/>
      <c r="K132" s="1"/>
      <c r="L132" s="1"/>
    </row>
    <row r="133" spans="1:12" x14ac:dyDescent="0.25">
      <c r="A133" s="1"/>
      <c r="B133" s="20" t="s">
        <v>564</v>
      </c>
      <c r="C133" s="28" t="s">
        <v>565</v>
      </c>
      <c r="D133" s="40" t="s">
        <v>566</v>
      </c>
      <c r="E133" s="25">
        <v>348</v>
      </c>
      <c r="F133" s="26" t="s">
        <v>568</v>
      </c>
      <c r="G133" s="27">
        <v>338</v>
      </c>
      <c r="H133" s="1"/>
      <c r="I133" s="1"/>
      <c r="J133" s="1"/>
      <c r="K133" s="1"/>
      <c r="L133" s="1"/>
    </row>
    <row r="134" spans="1:12" x14ac:dyDescent="0.25">
      <c r="A134" s="1"/>
      <c r="B134" s="20" t="s">
        <v>569</v>
      </c>
      <c r="C134" s="28" t="s">
        <v>570</v>
      </c>
      <c r="D134" s="40" t="s">
        <v>572</v>
      </c>
      <c r="E134" s="25">
        <v>698</v>
      </c>
      <c r="F134" s="26" t="s">
        <v>573</v>
      </c>
      <c r="G134" s="27">
        <v>608</v>
      </c>
      <c r="H134" s="1"/>
      <c r="I134" s="1"/>
      <c r="J134" s="1"/>
      <c r="K134" s="1"/>
      <c r="L134" s="1"/>
    </row>
    <row r="135" spans="1:12" x14ac:dyDescent="0.25">
      <c r="A135" s="1"/>
      <c r="B135" s="20" t="s">
        <v>574</v>
      </c>
      <c r="C135" s="28" t="s">
        <v>575</v>
      </c>
      <c r="D135" s="40" t="s">
        <v>576</v>
      </c>
      <c r="E135" s="25">
        <v>528</v>
      </c>
      <c r="F135" s="26" t="s">
        <v>577</v>
      </c>
      <c r="G135" s="27">
        <v>533</v>
      </c>
      <c r="H135" s="1"/>
      <c r="I135" s="1"/>
      <c r="J135" s="1"/>
      <c r="K135" s="1"/>
      <c r="L135" s="1"/>
    </row>
    <row r="136" spans="1:12" x14ac:dyDescent="0.25">
      <c r="A136" s="1"/>
      <c r="B136" s="20" t="s">
        <v>579</v>
      </c>
      <c r="C136" s="28" t="s">
        <v>580</v>
      </c>
      <c r="D136" s="40" t="s">
        <v>581</v>
      </c>
      <c r="E136" s="25">
        <v>1180</v>
      </c>
      <c r="F136" s="26" t="s">
        <v>583</v>
      </c>
      <c r="G136" s="27">
        <v>1035</v>
      </c>
      <c r="H136" s="1"/>
      <c r="I136" s="1"/>
      <c r="J136" s="1"/>
      <c r="K136" s="1"/>
      <c r="L136" s="1"/>
    </row>
    <row r="137" spans="1:12" x14ac:dyDescent="0.25">
      <c r="A137" s="1"/>
      <c r="B137" s="20" t="s">
        <v>584</v>
      </c>
      <c r="C137" s="28" t="s">
        <v>585</v>
      </c>
      <c r="D137" s="40" t="s">
        <v>586</v>
      </c>
      <c r="E137" s="25">
        <v>936</v>
      </c>
      <c r="F137" s="26" t="s">
        <v>587</v>
      </c>
      <c r="G137" s="27">
        <v>863</v>
      </c>
      <c r="H137" s="1"/>
      <c r="I137" s="1"/>
      <c r="J137" s="1"/>
      <c r="K137" s="1"/>
      <c r="L137" s="1"/>
    </row>
    <row r="138" spans="1:12" x14ac:dyDescent="0.25">
      <c r="A138" s="1"/>
      <c r="B138" s="20" t="s">
        <v>588</v>
      </c>
      <c r="C138" s="28" t="s">
        <v>589</v>
      </c>
      <c r="D138" s="40" t="s">
        <v>590</v>
      </c>
      <c r="E138" s="25">
        <v>980</v>
      </c>
      <c r="F138" s="26" t="s">
        <v>591</v>
      </c>
      <c r="G138" s="27">
        <v>1013</v>
      </c>
      <c r="H138" s="1"/>
      <c r="I138" s="1"/>
      <c r="J138" s="1"/>
      <c r="K138" s="1"/>
      <c r="L138" s="1"/>
    </row>
    <row r="139" spans="1:12" x14ac:dyDescent="0.25">
      <c r="A139" s="1"/>
      <c r="B139" s="34"/>
      <c r="C139" s="34"/>
      <c r="D139" s="35"/>
      <c r="E139" s="36"/>
      <c r="F139" s="17"/>
      <c r="G139" s="19"/>
      <c r="H139" s="1"/>
      <c r="I139" s="1"/>
      <c r="J139" s="1"/>
      <c r="K139" s="1"/>
      <c r="L139" s="1"/>
    </row>
    <row r="140" spans="1:12" x14ac:dyDescent="0.25">
      <c r="A140" s="1"/>
      <c r="B140" s="37" t="s">
        <v>592</v>
      </c>
      <c r="C140" s="38"/>
      <c r="D140" s="39"/>
      <c r="E140" s="36"/>
      <c r="F140" s="17"/>
      <c r="G140" s="19"/>
      <c r="H140" s="1"/>
      <c r="I140" s="1"/>
      <c r="J140" s="1"/>
      <c r="K140" s="1"/>
      <c r="L140" s="1"/>
    </row>
    <row r="141" spans="1:12" x14ac:dyDescent="0.25">
      <c r="A141" s="1"/>
      <c r="B141" s="21" t="s">
        <v>43</v>
      </c>
      <c r="C141" s="48" t="s">
        <v>44</v>
      </c>
      <c r="D141" s="49" t="s">
        <v>594</v>
      </c>
      <c r="E141" s="27">
        <v>32.299999999999997</v>
      </c>
      <c r="F141" s="26"/>
      <c r="G141" s="27"/>
      <c r="H141" s="1"/>
      <c r="I141" s="1"/>
      <c r="J141" s="1"/>
      <c r="K141" s="1"/>
      <c r="L141" s="1"/>
    </row>
    <row r="142" spans="1:12" x14ac:dyDescent="0.25">
      <c r="A142" s="1"/>
      <c r="B142" s="20" t="s">
        <v>16</v>
      </c>
      <c r="C142" s="28">
        <v>20</v>
      </c>
      <c r="D142" s="40" t="s">
        <v>595</v>
      </c>
      <c r="E142" s="27">
        <v>23.6</v>
      </c>
      <c r="F142" s="26" t="s">
        <v>596</v>
      </c>
      <c r="G142" s="27">
        <v>27</v>
      </c>
      <c r="H142" s="1"/>
      <c r="I142" s="1"/>
      <c r="J142" s="1"/>
      <c r="K142" s="1"/>
      <c r="L142" s="1"/>
    </row>
    <row r="143" spans="1:12" x14ac:dyDescent="0.25">
      <c r="A143" s="1"/>
      <c r="B143" s="20" t="s">
        <v>21</v>
      </c>
      <c r="C143" s="28">
        <v>25</v>
      </c>
      <c r="D143" s="40" t="s">
        <v>598</v>
      </c>
      <c r="E143" s="27">
        <v>36.5</v>
      </c>
      <c r="F143" s="26" t="s">
        <v>599</v>
      </c>
      <c r="G143" s="27">
        <v>42</v>
      </c>
      <c r="H143" s="1"/>
      <c r="I143" s="1"/>
      <c r="J143" s="1"/>
      <c r="K143" s="1"/>
      <c r="L143" s="1"/>
    </row>
    <row r="144" spans="1:12" x14ac:dyDescent="0.25">
      <c r="A144" s="1"/>
      <c r="B144" s="20" t="s">
        <v>27</v>
      </c>
      <c r="C144" s="28">
        <v>32</v>
      </c>
      <c r="D144" s="40" t="s">
        <v>601</v>
      </c>
      <c r="E144" s="27">
        <v>54.2</v>
      </c>
      <c r="F144" s="26" t="s">
        <v>602</v>
      </c>
      <c r="G144" s="27">
        <v>63</v>
      </c>
      <c r="H144" s="1"/>
      <c r="I144" s="1"/>
      <c r="J144" s="1"/>
      <c r="K144" s="1"/>
      <c r="L144" s="1"/>
    </row>
    <row r="145" spans="1:12" x14ac:dyDescent="0.25">
      <c r="A145" s="1"/>
      <c r="B145" s="20" t="s">
        <v>33</v>
      </c>
      <c r="C145" s="28">
        <v>40</v>
      </c>
      <c r="D145" s="40" t="s">
        <v>604</v>
      </c>
      <c r="E145" s="27">
        <v>91.6</v>
      </c>
      <c r="F145" s="26" t="s">
        <v>605</v>
      </c>
      <c r="G145" s="27">
        <v>78</v>
      </c>
      <c r="H145" s="1"/>
      <c r="I145" s="1"/>
      <c r="J145" s="1"/>
      <c r="K145" s="1"/>
      <c r="L145" s="1"/>
    </row>
    <row r="146" spans="1:12" x14ac:dyDescent="0.25">
      <c r="A146" s="1"/>
      <c r="B146" s="20" t="s">
        <v>38</v>
      </c>
      <c r="C146" s="28">
        <v>50</v>
      </c>
      <c r="D146" s="40" t="s">
        <v>607</v>
      </c>
      <c r="E146" s="27">
        <v>169</v>
      </c>
      <c r="F146" s="26" t="s">
        <v>608</v>
      </c>
      <c r="G146" s="27">
        <v>149</v>
      </c>
      <c r="H146" s="1"/>
      <c r="I146" s="1"/>
      <c r="J146" s="1"/>
      <c r="K146" s="1"/>
      <c r="L146" s="1"/>
    </row>
    <row r="147" spans="1:12" x14ac:dyDescent="0.25">
      <c r="A147" s="1"/>
      <c r="B147" s="20" t="s">
        <v>172</v>
      </c>
      <c r="C147" s="28" t="s">
        <v>174</v>
      </c>
      <c r="D147" s="40" t="s">
        <v>609</v>
      </c>
      <c r="E147" s="27">
        <v>56.8</v>
      </c>
      <c r="F147" s="26"/>
      <c r="G147" s="27"/>
      <c r="H147" s="1"/>
      <c r="I147" s="1"/>
      <c r="J147" s="1"/>
      <c r="K147" s="1"/>
      <c r="L147" s="1"/>
    </row>
    <row r="148" spans="1:12" x14ac:dyDescent="0.25">
      <c r="A148" s="1"/>
      <c r="B148" s="20" t="s">
        <v>102</v>
      </c>
      <c r="C148" s="28" t="s">
        <v>104</v>
      </c>
      <c r="D148" s="40" t="s">
        <v>611</v>
      </c>
      <c r="E148" s="27">
        <v>41.8</v>
      </c>
      <c r="F148" s="26"/>
      <c r="G148" s="27"/>
      <c r="H148" s="1"/>
      <c r="I148" s="1"/>
      <c r="J148" s="1"/>
      <c r="K148" s="1"/>
      <c r="L148" s="1"/>
    </row>
    <row r="149" spans="1:12" x14ac:dyDescent="0.25">
      <c r="A149" s="1"/>
      <c r="B149" s="34"/>
      <c r="C149" s="34"/>
      <c r="D149" s="35"/>
      <c r="E149" s="36"/>
      <c r="F149" s="17"/>
      <c r="G149" s="19"/>
      <c r="H149" s="1"/>
      <c r="I149" s="1"/>
      <c r="J149" s="1"/>
      <c r="K149" s="1"/>
      <c r="L149" s="1"/>
    </row>
    <row r="150" spans="1:12" x14ac:dyDescent="0.25">
      <c r="A150" s="1"/>
      <c r="B150" s="37" t="s">
        <v>614</v>
      </c>
      <c r="C150" s="38"/>
      <c r="D150" s="39"/>
      <c r="E150" s="36"/>
      <c r="F150" s="17"/>
      <c r="G150" s="19"/>
      <c r="H150" s="1"/>
      <c r="I150" s="1"/>
      <c r="J150" s="1"/>
      <c r="K150" s="1"/>
      <c r="L150" s="1"/>
    </row>
    <row r="151" spans="1:12" x14ac:dyDescent="0.25">
      <c r="A151" s="1"/>
      <c r="B151" s="21" t="s">
        <v>54</v>
      </c>
      <c r="C151" s="48">
        <v>65</v>
      </c>
      <c r="D151" s="49" t="s">
        <v>617</v>
      </c>
      <c r="E151" s="25">
        <v>414.2</v>
      </c>
      <c r="F151" s="26" t="s">
        <v>619</v>
      </c>
      <c r="G151" s="27">
        <v>548</v>
      </c>
      <c r="H151" s="1"/>
      <c r="I151" s="1"/>
      <c r="J151" s="1"/>
      <c r="K151" s="1"/>
      <c r="L151" s="1"/>
    </row>
    <row r="152" spans="1:12" x14ac:dyDescent="0.25">
      <c r="A152" s="1"/>
      <c r="B152" s="20">
        <v>3</v>
      </c>
      <c r="C152" s="28">
        <v>80</v>
      </c>
      <c r="D152" s="40" t="s">
        <v>620</v>
      </c>
      <c r="E152" s="25">
        <v>568.1</v>
      </c>
      <c r="F152" s="26" t="s">
        <v>622</v>
      </c>
      <c r="G152" s="27">
        <v>773</v>
      </c>
      <c r="H152" s="1"/>
      <c r="I152" s="1"/>
      <c r="J152" s="1"/>
      <c r="K152" s="1"/>
      <c r="L152" s="1"/>
    </row>
    <row r="153" spans="1:12" x14ac:dyDescent="0.25">
      <c r="A153" s="1"/>
      <c r="B153" s="20">
        <v>4</v>
      </c>
      <c r="C153" s="28">
        <v>100</v>
      </c>
      <c r="D153" s="40" t="s">
        <v>623</v>
      </c>
      <c r="E153" s="25">
        <v>1079.2</v>
      </c>
      <c r="F153" s="26" t="s">
        <v>624</v>
      </c>
      <c r="G153" s="27">
        <v>1470</v>
      </c>
      <c r="H153" s="1"/>
      <c r="I153" s="1"/>
      <c r="J153" s="1"/>
      <c r="K153" s="1"/>
      <c r="L153" s="1"/>
    </row>
    <row r="154" spans="1:12" x14ac:dyDescent="0.25">
      <c r="A154" s="1"/>
      <c r="B154" s="34"/>
      <c r="C154" s="34"/>
      <c r="D154" s="35"/>
      <c r="E154" s="36"/>
      <c r="F154" s="17"/>
      <c r="G154" s="19"/>
      <c r="H154" s="1"/>
      <c r="I154" s="1"/>
      <c r="J154" s="1"/>
      <c r="K154" s="1"/>
      <c r="L154" s="1"/>
    </row>
    <row r="155" spans="1:12" x14ac:dyDescent="0.25">
      <c r="A155" s="1"/>
      <c r="B155" s="37" t="s">
        <v>626</v>
      </c>
      <c r="C155" s="38"/>
      <c r="D155" s="39"/>
      <c r="E155" s="36"/>
      <c r="F155" s="17"/>
      <c r="G155" s="19"/>
      <c r="H155" s="1"/>
      <c r="I155" s="1"/>
      <c r="J155" s="1"/>
      <c r="K155" s="1"/>
      <c r="L155" s="1"/>
    </row>
    <row r="156" spans="1:12" x14ac:dyDescent="0.25">
      <c r="A156" s="1"/>
      <c r="B156" s="21" t="s">
        <v>43</v>
      </c>
      <c r="C156" s="48" t="s">
        <v>44</v>
      </c>
      <c r="D156" s="49" t="s">
        <v>627</v>
      </c>
      <c r="E156" s="27">
        <v>37.799999999999997</v>
      </c>
      <c r="F156" s="26"/>
      <c r="G156" s="27"/>
      <c r="H156" s="1"/>
      <c r="I156" s="1"/>
      <c r="J156" s="1"/>
      <c r="K156" s="1"/>
      <c r="L156" s="1"/>
    </row>
    <row r="157" spans="1:12" x14ac:dyDescent="0.25">
      <c r="A157" s="1"/>
      <c r="B157" s="20" t="s">
        <v>102</v>
      </c>
      <c r="C157" s="28" t="s">
        <v>104</v>
      </c>
      <c r="D157" s="40" t="s">
        <v>630</v>
      </c>
      <c r="E157" s="27">
        <v>51.8</v>
      </c>
      <c r="F157" s="26"/>
      <c r="G157" s="63"/>
      <c r="H157" s="1"/>
      <c r="I157" s="1"/>
      <c r="J157" s="1"/>
      <c r="K157" s="1"/>
      <c r="L157" s="1"/>
    </row>
    <row r="158" spans="1:12" x14ac:dyDescent="0.25">
      <c r="A158" s="1"/>
      <c r="B158" s="20" t="s">
        <v>16</v>
      </c>
      <c r="C158" s="28">
        <v>20</v>
      </c>
      <c r="D158" s="40" t="s">
        <v>631</v>
      </c>
      <c r="E158" s="27">
        <v>32.9</v>
      </c>
      <c r="F158" s="26" t="s">
        <v>633</v>
      </c>
      <c r="G158" s="27">
        <v>37</v>
      </c>
      <c r="H158" s="1"/>
      <c r="I158" s="1"/>
      <c r="J158" s="1"/>
      <c r="K158" s="1"/>
      <c r="L158" s="1"/>
    </row>
    <row r="159" spans="1:12" x14ac:dyDescent="0.25">
      <c r="A159" s="1"/>
      <c r="B159" s="20">
        <v>1</v>
      </c>
      <c r="C159" s="28">
        <v>25</v>
      </c>
      <c r="D159" s="40" t="s">
        <v>634</v>
      </c>
      <c r="E159" s="27">
        <v>46.4</v>
      </c>
      <c r="F159" s="26" t="s">
        <v>635</v>
      </c>
      <c r="G159" s="27">
        <v>53</v>
      </c>
      <c r="H159" s="1"/>
      <c r="I159" s="1"/>
      <c r="J159" s="1"/>
      <c r="K159" s="1"/>
      <c r="L159" s="1"/>
    </row>
    <row r="160" spans="1:12" x14ac:dyDescent="0.25">
      <c r="A160" s="1"/>
      <c r="B160" s="20" t="s">
        <v>27</v>
      </c>
      <c r="C160" s="28">
        <v>32</v>
      </c>
      <c r="D160" s="40" t="s">
        <v>636</v>
      </c>
      <c r="E160" s="27">
        <v>109.8</v>
      </c>
      <c r="F160" s="26" t="s">
        <v>638</v>
      </c>
      <c r="G160" s="27">
        <v>123</v>
      </c>
      <c r="H160" s="1"/>
      <c r="I160" s="1"/>
      <c r="J160" s="1"/>
      <c r="K160" s="1"/>
      <c r="L160" s="1"/>
    </row>
    <row r="161" spans="1:12" x14ac:dyDescent="0.25">
      <c r="A161" s="1"/>
      <c r="B161" s="20" t="s">
        <v>33</v>
      </c>
      <c r="C161" s="28">
        <v>40</v>
      </c>
      <c r="D161" s="40" t="s">
        <v>639</v>
      </c>
      <c r="E161" s="27">
        <v>158</v>
      </c>
      <c r="F161" s="26" t="s">
        <v>640</v>
      </c>
      <c r="G161" s="27">
        <v>135</v>
      </c>
      <c r="H161" s="1"/>
      <c r="I161" s="1"/>
      <c r="J161" s="1"/>
      <c r="K161" s="1"/>
      <c r="L161" s="1"/>
    </row>
    <row r="162" spans="1:12" x14ac:dyDescent="0.25">
      <c r="A162" s="1"/>
      <c r="B162" s="20">
        <v>2</v>
      </c>
      <c r="C162" s="28">
        <v>50</v>
      </c>
      <c r="D162" s="40" t="s">
        <v>642</v>
      </c>
      <c r="E162" s="27">
        <v>249</v>
      </c>
      <c r="F162" s="26" t="s">
        <v>643</v>
      </c>
      <c r="G162" s="27">
        <v>210</v>
      </c>
      <c r="H162" s="1"/>
      <c r="I162" s="1"/>
      <c r="J162" s="1"/>
      <c r="K162" s="1"/>
      <c r="L162" s="1"/>
    </row>
    <row r="163" spans="1:12" x14ac:dyDescent="0.25">
      <c r="A163" s="1"/>
      <c r="B163" s="34"/>
      <c r="C163" s="34"/>
      <c r="D163" s="35"/>
      <c r="E163" s="36"/>
      <c r="F163" s="17"/>
      <c r="G163" s="19"/>
      <c r="H163" s="1"/>
      <c r="I163" s="1"/>
      <c r="J163" s="1"/>
      <c r="K163" s="1"/>
      <c r="L163" s="1"/>
    </row>
    <row r="164" spans="1:12" x14ac:dyDescent="0.25">
      <c r="A164" s="1"/>
      <c r="B164" s="37" t="s">
        <v>644</v>
      </c>
      <c r="C164" s="38"/>
      <c r="D164" s="39"/>
      <c r="E164" s="36"/>
      <c r="F164" s="17"/>
      <c r="G164" s="19"/>
      <c r="H164" s="1"/>
      <c r="I164" s="1"/>
      <c r="J164" s="1"/>
      <c r="K164" s="1"/>
      <c r="L164" s="1"/>
    </row>
    <row r="165" spans="1:12" x14ac:dyDescent="0.25">
      <c r="A165" s="1"/>
      <c r="B165" s="21" t="s">
        <v>54</v>
      </c>
      <c r="C165" s="48">
        <v>65</v>
      </c>
      <c r="D165" s="49" t="s">
        <v>647</v>
      </c>
      <c r="E165" s="25">
        <v>398</v>
      </c>
      <c r="F165" s="26" t="s">
        <v>648</v>
      </c>
      <c r="G165" s="27">
        <v>528</v>
      </c>
      <c r="H165" s="1"/>
      <c r="I165" s="1"/>
      <c r="J165" s="1"/>
      <c r="K165" s="1"/>
      <c r="L165" s="1"/>
    </row>
    <row r="166" spans="1:12" x14ac:dyDescent="0.25">
      <c r="A166" s="1"/>
      <c r="B166" s="20">
        <v>3</v>
      </c>
      <c r="C166" s="28">
        <v>80</v>
      </c>
      <c r="D166" s="40" t="s">
        <v>649</v>
      </c>
      <c r="E166" s="25">
        <v>648</v>
      </c>
      <c r="F166" s="26" t="s">
        <v>651</v>
      </c>
      <c r="G166" s="27">
        <v>735</v>
      </c>
      <c r="H166" s="1"/>
      <c r="I166" s="1"/>
      <c r="J166" s="1"/>
      <c r="K166" s="1"/>
      <c r="L166" s="1"/>
    </row>
    <row r="167" spans="1:12" x14ac:dyDescent="0.25">
      <c r="A167" s="1"/>
      <c r="B167" s="20">
        <v>4</v>
      </c>
      <c r="C167" s="28">
        <v>100</v>
      </c>
      <c r="D167" s="40" t="s">
        <v>652</v>
      </c>
      <c r="E167" s="25">
        <v>1090</v>
      </c>
      <c r="F167" s="26" t="s">
        <v>653</v>
      </c>
      <c r="G167" s="27">
        <v>1440</v>
      </c>
      <c r="H167" s="1"/>
      <c r="I167" s="1"/>
      <c r="J167" s="1"/>
      <c r="K167" s="1"/>
      <c r="L167" s="1"/>
    </row>
    <row r="168" spans="1:12" x14ac:dyDescent="0.25">
      <c r="A168" s="1"/>
      <c r="B168" s="34"/>
      <c r="C168" s="34"/>
      <c r="D168" s="35"/>
      <c r="E168" s="36"/>
      <c r="F168" s="17"/>
      <c r="G168" s="19"/>
      <c r="H168" s="1"/>
      <c r="I168" s="1"/>
      <c r="J168" s="1"/>
      <c r="K168" s="1"/>
      <c r="L168" s="1"/>
    </row>
    <row r="169" spans="1:12" x14ac:dyDescent="0.25">
      <c r="A169" s="1"/>
      <c r="B169" s="37" t="s">
        <v>656</v>
      </c>
      <c r="C169" s="38"/>
      <c r="D169" s="39"/>
      <c r="E169" s="36"/>
      <c r="F169" s="17"/>
      <c r="G169" s="19"/>
      <c r="H169" s="1"/>
      <c r="I169" s="1"/>
      <c r="J169" s="1"/>
      <c r="K169" s="1"/>
      <c r="L169" s="1"/>
    </row>
    <row r="170" spans="1:12" x14ac:dyDescent="0.25">
      <c r="A170" s="1"/>
      <c r="B170" s="21" t="s">
        <v>16</v>
      </c>
      <c r="C170" s="48">
        <v>20</v>
      </c>
      <c r="D170" s="49" t="s">
        <v>657</v>
      </c>
      <c r="E170" s="27">
        <v>66</v>
      </c>
      <c r="F170" s="26" t="s">
        <v>658</v>
      </c>
      <c r="G170" s="27">
        <v>60</v>
      </c>
      <c r="H170" s="1"/>
      <c r="I170" s="1"/>
      <c r="J170" s="1"/>
      <c r="K170" s="1"/>
      <c r="L170" s="1"/>
    </row>
    <row r="171" spans="1:12" x14ac:dyDescent="0.25">
      <c r="A171" s="1"/>
      <c r="B171" s="20">
        <v>1</v>
      </c>
      <c r="C171" s="28">
        <v>25</v>
      </c>
      <c r="D171" s="40" t="s">
        <v>659</v>
      </c>
      <c r="E171" s="27">
        <v>109</v>
      </c>
      <c r="F171" s="26" t="s">
        <v>660</v>
      </c>
      <c r="G171" s="27">
        <v>130</v>
      </c>
      <c r="H171" s="1"/>
      <c r="I171" s="1"/>
      <c r="J171" s="1"/>
      <c r="K171" s="1"/>
      <c r="L171" s="1"/>
    </row>
    <row r="172" spans="1:12" x14ac:dyDescent="0.25">
      <c r="A172" s="1"/>
      <c r="B172" s="34"/>
      <c r="C172" s="34"/>
      <c r="D172" s="35"/>
      <c r="E172" s="36"/>
      <c r="F172" s="17"/>
      <c r="G172" s="19"/>
      <c r="H172" s="1"/>
      <c r="I172" s="1"/>
      <c r="J172" s="1"/>
      <c r="K172" s="1"/>
      <c r="L172" s="1"/>
    </row>
    <row r="173" spans="1:12" x14ac:dyDescent="0.25">
      <c r="A173" s="1"/>
      <c r="B173" s="37" t="s">
        <v>662</v>
      </c>
      <c r="C173" s="38"/>
      <c r="D173" s="39"/>
      <c r="E173" s="36"/>
      <c r="F173" s="17"/>
      <c r="G173" s="19"/>
      <c r="H173" s="1"/>
      <c r="I173" s="1"/>
      <c r="J173" s="1"/>
      <c r="K173" s="1"/>
      <c r="L173" s="1"/>
    </row>
    <row r="174" spans="1:12" x14ac:dyDescent="0.25">
      <c r="A174" s="1"/>
      <c r="B174" s="21">
        <v>1</v>
      </c>
      <c r="C174" s="65">
        <v>25</v>
      </c>
      <c r="D174" s="29" t="s">
        <v>669</v>
      </c>
      <c r="E174" s="25"/>
      <c r="F174" s="26" t="s">
        <v>670</v>
      </c>
      <c r="G174" s="27">
        <v>803</v>
      </c>
      <c r="H174" s="1"/>
      <c r="I174" s="1"/>
      <c r="J174" s="1"/>
      <c r="K174" s="1"/>
      <c r="L174" s="1"/>
    </row>
    <row r="175" spans="1:12" x14ac:dyDescent="0.25">
      <c r="A175" s="1"/>
      <c r="B175" s="21" t="s">
        <v>27</v>
      </c>
      <c r="C175" s="65">
        <v>32</v>
      </c>
      <c r="D175" s="29" t="s">
        <v>672</v>
      </c>
      <c r="E175" s="25">
        <v>980</v>
      </c>
      <c r="F175" s="26" t="s">
        <v>673</v>
      </c>
      <c r="G175" s="27">
        <v>1930</v>
      </c>
      <c r="H175" s="1"/>
      <c r="I175" s="1"/>
      <c r="J175" s="1"/>
      <c r="K175" s="1"/>
      <c r="L175" s="1"/>
    </row>
    <row r="176" spans="1:12" x14ac:dyDescent="0.25">
      <c r="A176" s="1"/>
      <c r="B176" s="21" t="s">
        <v>33</v>
      </c>
      <c r="C176" s="65">
        <v>40</v>
      </c>
      <c r="D176" s="29" t="s">
        <v>674</v>
      </c>
      <c r="E176" s="25">
        <v>1180</v>
      </c>
      <c r="F176" s="26" t="s">
        <v>675</v>
      </c>
      <c r="G176" s="27">
        <v>2387</v>
      </c>
      <c r="H176" s="1"/>
      <c r="I176" s="1"/>
      <c r="J176" s="1"/>
      <c r="K176" s="1"/>
      <c r="L176" s="1"/>
    </row>
    <row r="177" spans="1:12" x14ac:dyDescent="0.25">
      <c r="A177" s="1"/>
      <c r="B177" s="34"/>
      <c r="C177" s="34"/>
      <c r="D177" s="35"/>
      <c r="E177" s="36"/>
      <c r="F177" s="17"/>
      <c r="G177" s="19"/>
      <c r="H177" s="1"/>
      <c r="I177" s="1"/>
      <c r="J177" s="1"/>
      <c r="K177" s="1"/>
      <c r="L177" s="1"/>
    </row>
    <row r="178" spans="1:12" x14ac:dyDescent="0.25">
      <c r="A178" s="1"/>
      <c r="B178" s="37" t="s">
        <v>676</v>
      </c>
      <c r="C178" s="38"/>
      <c r="D178" s="39"/>
      <c r="E178" s="36"/>
      <c r="F178" s="17"/>
      <c r="G178" s="19"/>
      <c r="H178" s="1"/>
      <c r="I178" s="1"/>
      <c r="J178" s="1"/>
      <c r="K178" s="1"/>
      <c r="L178" s="1"/>
    </row>
    <row r="179" spans="1:12" x14ac:dyDescent="0.25">
      <c r="A179" s="1"/>
      <c r="B179" s="21" t="s">
        <v>16</v>
      </c>
      <c r="C179" s="48">
        <v>20</v>
      </c>
      <c r="D179" s="49" t="s">
        <v>678</v>
      </c>
      <c r="E179" s="25">
        <v>176</v>
      </c>
      <c r="F179" s="26"/>
      <c r="G179" s="63"/>
      <c r="H179" s="1"/>
      <c r="I179" s="1"/>
      <c r="J179" s="1"/>
      <c r="K179" s="1"/>
      <c r="L179" s="1"/>
    </row>
    <row r="180" spans="1:12" x14ac:dyDescent="0.25">
      <c r="A180" s="1"/>
      <c r="B180" s="20">
        <v>1</v>
      </c>
      <c r="C180" s="28">
        <v>25</v>
      </c>
      <c r="D180" s="40" t="s">
        <v>679</v>
      </c>
      <c r="E180" s="25">
        <v>328</v>
      </c>
      <c r="F180" s="26"/>
      <c r="G180" s="63"/>
      <c r="H180" s="1"/>
      <c r="I180" s="1"/>
      <c r="J180" s="1"/>
      <c r="K180" s="1"/>
      <c r="L180" s="1"/>
    </row>
    <row r="181" spans="1:12" x14ac:dyDescent="0.25">
      <c r="A181" s="1"/>
      <c r="B181" s="20" t="s">
        <v>27</v>
      </c>
      <c r="C181" s="28">
        <v>32</v>
      </c>
      <c r="D181" s="40" t="s">
        <v>681</v>
      </c>
      <c r="E181" s="25">
        <v>568</v>
      </c>
      <c r="F181" s="26"/>
      <c r="G181" s="63"/>
      <c r="H181" s="1"/>
      <c r="I181" s="1"/>
      <c r="J181" s="1"/>
      <c r="K181" s="1"/>
      <c r="L181" s="1"/>
    </row>
    <row r="182" spans="1:12" x14ac:dyDescent="0.25">
      <c r="A182" s="1"/>
      <c r="B182" s="20" t="s">
        <v>33</v>
      </c>
      <c r="C182" s="28">
        <v>40</v>
      </c>
      <c r="D182" s="40" t="s">
        <v>682</v>
      </c>
      <c r="E182" s="25">
        <v>848</v>
      </c>
      <c r="F182" s="26"/>
      <c r="G182" s="63"/>
      <c r="H182" s="1"/>
      <c r="I182" s="1"/>
      <c r="J182" s="1"/>
      <c r="K182" s="1"/>
      <c r="L182" s="1"/>
    </row>
    <row r="183" spans="1:12" x14ac:dyDescent="0.25">
      <c r="A183" s="1"/>
      <c r="B183" s="20">
        <v>2</v>
      </c>
      <c r="C183" s="28">
        <v>50</v>
      </c>
      <c r="D183" s="40" t="s">
        <v>684</v>
      </c>
      <c r="E183" s="25">
        <v>1398</v>
      </c>
      <c r="F183" s="26"/>
      <c r="G183" s="63"/>
      <c r="H183" s="1"/>
      <c r="I183" s="1"/>
      <c r="J183" s="1"/>
      <c r="K183" s="1"/>
      <c r="L183" s="1"/>
    </row>
    <row r="184" spans="1:12" x14ac:dyDescent="0.25">
      <c r="A184" s="1"/>
      <c r="B184" s="34"/>
      <c r="C184" s="34"/>
      <c r="D184" s="35"/>
      <c r="E184" s="36"/>
      <c r="F184" s="17"/>
      <c r="G184" s="19"/>
      <c r="H184" s="1"/>
      <c r="I184" s="1"/>
      <c r="J184" s="1"/>
      <c r="K184" s="1"/>
      <c r="L184" s="1"/>
    </row>
    <row r="185" spans="1:12" x14ac:dyDescent="0.25">
      <c r="A185" s="1"/>
      <c r="B185" s="37" t="s">
        <v>685</v>
      </c>
      <c r="C185" s="38"/>
      <c r="D185" s="39"/>
      <c r="E185" s="36"/>
      <c r="F185" s="17"/>
      <c r="G185" s="19"/>
      <c r="H185" s="1"/>
      <c r="I185" s="1"/>
      <c r="J185" s="1"/>
      <c r="K185" s="1"/>
      <c r="L185" s="1"/>
    </row>
    <row r="186" spans="1:12" x14ac:dyDescent="0.25">
      <c r="A186" s="1"/>
      <c r="B186" s="21" t="s">
        <v>43</v>
      </c>
      <c r="C186" s="48" t="s">
        <v>44</v>
      </c>
      <c r="D186" s="49" t="s">
        <v>687</v>
      </c>
      <c r="E186" s="27">
        <v>244</v>
      </c>
      <c r="F186" s="26"/>
      <c r="G186" s="27"/>
      <c r="H186" s="1"/>
      <c r="I186" s="1"/>
      <c r="J186" s="1"/>
      <c r="K186" s="1"/>
      <c r="L186" s="1"/>
    </row>
    <row r="187" spans="1:12" x14ac:dyDescent="0.25">
      <c r="A187" s="1"/>
      <c r="B187" s="20" t="s">
        <v>16</v>
      </c>
      <c r="C187" s="28">
        <v>20</v>
      </c>
      <c r="D187" s="40" t="s">
        <v>689</v>
      </c>
      <c r="E187" s="27">
        <v>268</v>
      </c>
      <c r="F187" s="26" t="s">
        <v>690</v>
      </c>
      <c r="G187" s="27">
        <v>250</v>
      </c>
      <c r="H187" s="1"/>
      <c r="I187" s="1"/>
      <c r="J187" s="1"/>
      <c r="K187" s="1"/>
      <c r="L187" s="1"/>
    </row>
    <row r="188" spans="1:12" x14ac:dyDescent="0.25">
      <c r="A188" s="1"/>
      <c r="B188" s="20" t="s">
        <v>21</v>
      </c>
      <c r="C188" s="28">
        <v>25</v>
      </c>
      <c r="D188" s="40" t="s">
        <v>691</v>
      </c>
      <c r="E188" s="27">
        <v>578</v>
      </c>
      <c r="F188" s="26" t="s">
        <v>693</v>
      </c>
      <c r="G188" s="27">
        <v>360</v>
      </c>
      <c r="H188" s="1"/>
      <c r="I188" s="1"/>
      <c r="J188" s="1"/>
      <c r="K188" s="1"/>
      <c r="L188" s="1"/>
    </row>
    <row r="189" spans="1:12" x14ac:dyDescent="0.25">
      <c r="A189" s="1"/>
      <c r="B189" s="20" t="s">
        <v>27</v>
      </c>
      <c r="C189" s="28">
        <v>32</v>
      </c>
      <c r="D189" s="40" t="s">
        <v>694</v>
      </c>
      <c r="E189" s="27">
        <v>984</v>
      </c>
      <c r="F189" s="26" t="s">
        <v>696</v>
      </c>
      <c r="G189" s="27">
        <v>845</v>
      </c>
      <c r="H189" s="1"/>
      <c r="I189" s="1"/>
      <c r="J189" s="1"/>
      <c r="K189" s="1"/>
      <c r="L189" s="1"/>
    </row>
    <row r="190" spans="1:12" x14ac:dyDescent="0.25">
      <c r="A190" s="1"/>
      <c r="B190" s="20" t="s">
        <v>33</v>
      </c>
      <c r="C190" s="28">
        <v>40</v>
      </c>
      <c r="D190" s="40" t="s">
        <v>697</v>
      </c>
      <c r="E190" s="27">
        <v>1498</v>
      </c>
      <c r="F190" s="26" t="s">
        <v>698</v>
      </c>
      <c r="G190" s="27">
        <v>870</v>
      </c>
      <c r="H190" s="1"/>
      <c r="I190" s="1"/>
      <c r="J190" s="1"/>
      <c r="K190" s="1"/>
      <c r="L190" s="1"/>
    </row>
    <row r="191" spans="1:12" x14ac:dyDescent="0.25">
      <c r="A191" s="1"/>
      <c r="B191" s="20">
        <v>2</v>
      </c>
      <c r="C191" s="28">
        <v>50</v>
      </c>
      <c r="D191" s="40" t="s">
        <v>699</v>
      </c>
      <c r="E191" s="27">
        <v>2280</v>
      </c>
      <c r="F191" s="26" t="s">
        <v>700</v>
      </c>
      <c r="G191" s="27">
        <v>1596</v>
      </c>
      <c r="H191" s="1"/>
      <c r="I191" s="1"/>
      <c r="J191" s="1"/>
      <c r="K191" s="1"/>
      <c r="L191" s="1"/>
    </row>
    <row r="192" spans="1:12" x14ac:dyDescent="0.25">
      <c r="A192" s="1"/>
      <c r="B192" s="20" t="s">
        <v>172</v>
      </c>
      <c r="C192" s="28" t="s">
        <v>174</v>
      </c>
      <c r="D192" s="40" t="s">
        <v>702</v>
      </c>
      <c r="E192" s="27">
        <v>258</v>
      </c>
      <c r="F192" s="26"/>
      <c r="G192" s="27"/>
      <c r="H192" s="1"/>
      <c r="I192" s="1"/>
      <c r="J192" s="1"/>
      <c r="K192" s="1"/>
      <c r="L192" s="1"/>
    </row>
    <row r="193" spans="1:12" x14ac:dyDescent="0.25">
      <c r="A193" s="1"/>
      <c r="B193" s="20" t="s">
        <v>102</v>
      </c>
      <c r="C193" s="28" t="s">
        <v>104</v>
      </c>
      <c r="D193" s="40" t="s">
        <v>703</v>
      </c>
      <c r="E193" s="27">
        <v>288</v>
      </c>
      <c r="F193" s="26"/>
      <c r="G193" s="27"/>
      <c r="H193" s="1"/>
      <c r="I193" s="1"/>
      <c r="J193" s="1"/>
      <c r="K193" s="1"/>
      <c r="L193" s="1"/>
    </row>
    <row r="194" spans="1:12" x14ac:dyDescent="0.25">
      <c r="A194" s="1"/>
      <c r="B194" s="34"/>
      <c r="C194" s="34"/>
      <c r="D194" s="35"/>
      <c r="E194" s="36"/>
      <c r="F194" s="17"/>
      <c r="G194" s="19"/>
      <c r="H194" s="1"/>
      <c r="I194" s="1"/>
      <c r="J194" s="1"/>
      <c r="K194" s="1"/>
      <c r="L194" s="1"/>
    </row>
    <row r="195" spans="1:12" x14ac:dyDescent="0.25">
      <c r="A195" s="1"/>
      <c r="B195" s="37" t="s">
        <v>704</v>
      </c>
      <c r="C195" s="38"/>
      <c r="D195" s="39"/>
      <c r="E195" s="36"/>
      <c r="F195" s="17"/>
      <c r="G195" s="19"/>
      <c r="H195" s="1"/>
      <c r="I195" s="1"/>
      <c r="J195" s="1"/>
      <c r="K195" s="1"/>
      <c r="L195" s="1"/>
    </row>
    <row r="196" spans="1:12" x14ac:dyDescent="0.25">
      <c r="A196" s="1"/>
      <c r="B196" s="21" t="s">
        <v>16</v>
      </c>
      <c r="C196" s="48">
        <v>20</v>
      </c>
      <c r="D196" s="49" t="s">
        <v>706</v>
      </c>
      <c r="E196" s="27">
        <v>324</v>
      </c>
      <c r="F196" s="26" t="s">
        <v>707</v>
      </c>
      <c r="G196" s="27">
        <v>205</v>
      </c>
      <c r="H196" s="1"/>
      <c r="I196" s="1"/>
      <c r="J196" s="1"/>
      <c r="K196" s="1"/>
      <c r="L196" s="1"/>
    </row>
    <row r="197" spans="1:12" x14ac:dyDescent="0.25">
      <c r="A197" s="1"/>
      <c r="B197" s="20">
        <v>1</v>
      </c>
      <c r="C197" s="28">
        <v>25</v>
      </c>
      <c r="D197" s="40" t="s">
        <v>708</v>
      </c>
      <c r="E197" s="27">
        <v>748</v>
      </c>
      <c r="F197" s="26" t="s">
        <v>709</v>
      </c>
      <c r="G197" s="27">
        <v>345</v>
      </c>
      <c r="H197" s="1"/>
      <c r="I197" s="1"/>
      <c r="J197" s="1"/>
      <c r="K197" s="1"/>
      <c r="L197" s="1"/>
    </row>
    <row r="198" spans="1:12" x14ac:dyDescent="0.25">
      <c r="A198" s="1"/>
      <c r="B198" s="20" t="s">
        <v>27</v>
      </c>
      <c r="C198" s="28">
        <v>32</v>
      </c>
      <c r="D198" s="40" t="s">
        <v>710</v>
      </c>
      <c r="E198" s="27">
        <v>988</v>
      </c>
      <c r="F198" s="26" t="s">
        <v>712</v>
      </c>
      <c r="G198" s="27">
        <v>689</v>
      </c>
      <c r="H198" s="1"/>
      <c r="I198" s="1"/>
      <c r="J198" s="1"/>
      <c r="K198" s="1"/>
      <c r="L198" s="1"/>
    </row>
    <row r="199" spans="1:12" x14ac:dyDescent="0.25">
      <c r="A199" s="1"/>
      <c r="B199" s="20" t="s">
        <v>33</v>
      </c>
      <c r="C199" s="28">
        <v>40</v>
      </c>
      <c r="D199" s="40" t="s">
        <v>713</v>
      </c>
      <c r="E199" s="27">
        <v>1168</v>
      </c>
      <c r="F199" s="26" t="s">
        <v>714</v>
      </c>
      <c r="G199" s="27">
        <v>850</v>
      </c>
      <c r="H199" s="1"/>
      <c r="I199" s="1"/>
      <c r="J199" s="1"/>
      <c r="K199" s="1"/>
      <c r="L199" s="1"/>
    </row>
    <row r="200" spans="1:12" x14ac:dyDescent="0.25">
      <c r="A200" s="1"/>
      <c r="B200" s="20">
        <v>2</v>
      </c>
      <c r="C200" s="28">
        <v>50</v>
      </c>
      <c r="D200" s="40" t="s">
        <v>716</v>
      </c>
      <c r="E200" s="27">
        <v>1880</v>
      </c>
      <c r="F200" s="26" t="s">
        <v>717</v>
      </c>
      <c r="G200" s="27">
        <v>1428</v>
      </c>
      <c r="H200" s="1"/>
      <c r="I200" s="1"/>
      <c r="J200" s="1"/>
      <c r="K200" s="1"/>
      <c r="L200" s="1"/>
    </row>
    <row r="201" spans="1:12" x14ac:dyDescent="0.25">
      <c r="A201" s="1"/>
      <c r="B201" s="34"/>
      <c r="C201" s="34"/>
      <c r="D201" s="35"/>
      <c r="E201" s="36"/>
      <c r="F201" s="17"/>
      <c r="G201" s="19"/>
      <c r="H201" s="1"/>
      <c r="I201" s="1"/>
      <c r="J201" s="1"/>
      <c r="K201" s="1"/>
      <c r="L201" s="1"/>
    </row>
    <row r="202" spans="1:12" x14ac:dyDescent="0.25">
      <c r="A202" s="1"/>
      <c r="B202" s="37" t="s">
        <v>718</v>
      </c>
      <c r="C202" s="38"/>
      <c r="D202" s="39"/>
      <c r="E202" s="36"/>
      <c r="F202" s="17"/>
      <c r="G202" s="19"/>
      <c r="H202" s="1"/>
      <c r="I202" s="1"/>
      <c r="J202" s="1"/>
      <c r="K202" s="1"/>
      <c r="L202" s="1"/>
    </row>
    <row r="203" spans="1:12" x14ac:dyDescent="0.25">
      <c r="A203" s="1"/>
      <c r="B203" s="21" t="s">
        <v>16</v>
      </c>
      <c r="C203" s="48">
        <v>20</v>
      </c>
      <c r="D203" s="49" t="s">
        <v>720</v>
      </c>
      <c r="E203" s="25">
        <v>169.1</v>
      </c>
      <c r="F203" s="26"/>
      <c r="G203" s="27"/>
      <c r="H203" s="1"/>
      <c r="I203" s="1"/>
      <c r="J203" s="1"/>
      <c r="K203" s="1"/>
      <c r="L203" s="1"/>
    </row>
    <row r="204" spans="1:12" x14ac:dyDescent="0.25">
      <c r="A204" s="1"/>
      <c r="B204" s="20">
        <v>1</v>
      </c>
      <c r="C204" s="28">
        <v>25</v>
      </c>
      <c r="D204" s="40" t="s">
        <v>721</v>
      </c>
      <c r="E204" s="25">
        <v>326.8</v>
      </c>
      <c r="F204" s="26"/>
      <c r="G204" s="27"/>
      <c r="H204" s="1"/>
      <c r="I204" s="1"/>
      <c r="J204" s="1"/>
      <c r="K204" s="1"/>
      <c r="L204" s="1"/>
    </row>
    <row r="205" spans="1:12" x14ac:dyDescent="0.25">
      <c r="A205" s="1"/>
      <c r="B205" s="20" t="s">
        <v>27</v>
      </c>
      <c r="C205" s="28">
        <v>32</v>
      </c>
      <c r="D205" s="40" t="s">
        <v>722</v>
      </c>
      <c r="E205" s="25">
        <v>505.4</v>
      </c>
      <c r="F205" s="26"/>
      <c r="G205" s="27"/>
      <c r="H205" s="1"/>
      <c r="I205" s="1"/>
      <c r="J205" s="1"/>
      <c r="K205" s="1"/>
      <c r="L205" s="1"/>
    </row>
    <row r="206" spans="1:12" x14ac:dyDescent="0.25">
      <c r="A206" s="1"/>
      <c r="B206" s="20" t="s">
        <v>33</v>
      </c>
      <c r="C206" s="28">
        <v>40</v>
      </c>
      <c r="D206" s="40" t="s">
        <v>724</v>
      </c>
      <c r="E206" s="25">
        <v>900.6</v>
      </c>
      <c r="F206" s="26"/>
      <c r="G206" s="27"/>
      <c r="H206" s="1"/>
      <c r="I206" s="1"/>
      <c r="J206" s="1"/>
      <c r="K206" s="1"/>
      <c r="L206" s="1"/>
    </row>
    <row r="207" spans="1:12" x14ac:dyDescent="0.25">
      <c r="A207" s="1"/>
      <c r="B207" s="20">
        <v>2</v>
      </c>
      <c r="C207" s="28">
        <v>50</v>
      </c>
      <c r="D207" s="40" t="s">
        <v>725</v>
      </c>
      <c r="E207" s="25">
        <v>1606.2</v>
      </c>
      <c r="F207" s="26"/>
      <c r="G207" s="27"/>
      <c r="H207" s="1"/>
      <c r="I207" s="1"/>
      <c r="J207" s="1"/>
      <c r="K207" s="1"/>
      <c r="L207" s="1"/>
    </row>
    <row r="208" spans="1:12" x14ac:dyDescent="0.25">
      <c r="A208" s="1"/>
      <c r="B208" s="34"/>
      <c r="C208" s="34"/>
      <c r="D208" s="35"/>
      <c r="E208" s="36"/>
      <c r="F208" s="17"/>
      <c r="G208" s="19"/>
      <c r="H208" s="1"/>
      <c r="I208" s="1"/>
      <c r="J208" s="1"/>
      <c r="K208" s="1"/>
      <c r="L208" s="1"/>
    </row>
    <row r="209" spans="1:12" x14ac:dyDescent="0.25">
      <c r="A209" s="1"/>
      <c r="B209" s="37" t="s">
        <v>726</v>
      </c>
      <c r="C209" s="38"/>
      <c r="D209" s="39"/>
      <c r="E209" s="36"/>
      <c r="F209" s="17"/>
      <c r="G209" s="19"/>
      <c r="H209" s="1"/>
      <c r="I209" s="1"/>
      <c r="J209" s="1"/>
      <c r="K209" s="1"/>
      <c r="L209" s="1"/>
    </row>
    <row r="210" spans="1:12" x14ac:dyDescent="0.25">
      <c r="A210" s="1"/>
      <c r="B210" s="21" t="s">
        <v>16</v>
      </c>
      <c r="C210" s="48">
        <v>20</v>
      </c>
      <c r="D210" s="49" t="s">
        <v>728</v>
      </c>
      <c r="E210" s="27">
        <v>74</v>
      </c>
      <c r="F210" s="26"/>
      <c r="G210" s="27"/>
      <c r="H210" s="1"/>
      <c r="I210" s="1"/>
      <c r="J210" s="1"/>
      <c r="K210" s="1"/>
      <c r="L210" s="1"/>
    </row>
    <row r="211" spans="1:12" x14ac:dyDescent="0.25">
      <c r="A211" s="1"/>
      <c r="B211" s="20">
        <v>1</v>
      </c>
      <c r="C211" s="28">
        <v>25</v>
      </c>
      <c r="D211" s="40" t="s">
        <v>730</v>
      </c>
      <c r="E211" s="27">
        <v>98</v>
      </c>
      <c r="F211" s="26"/>
      <c r="G211" s="27"/>
      <c r="H211" s="1"/>
      <c r="I211" s="1"/>
      <c r="J211" s="1"/>
      <c r="K211" s="1"/>
      <c r="L211" s="1"/>
    </row>
    <row r="212" spans="1:12" x14ac:dyDescent="0.25">
      <c r="A212" s="1"/>
      <c r="B212" s="20" t="s">
        <v>27</v>
      </c>
      <c r="C212" s="28">
        <v>32</v>
      </c>
      <c r="D212" s="40" t="s">
        <v>731</v>
      </c>
      <c r="E212" s="27">
        <v>158</v>
      </c>
      <c r="F212" s="26"/>
      <c r="G212" s="27"/>
      <c r="H212" s="1"/>
      <c r="I212" s="1"/>
      <c r="J212" s="1"/>
      <c r="K212" s="1"/>
      <c r="L212" s="1"/>
    </row>
    <row r="213" spans="1:12" x14ac:dyDescent="0.25">
      <c r="A213" s="1"/>
      <c r="B213" s="20" t="s">
        <v>33</v>
      </c>
      <c r="C213" s="28">
        <v>40</v>
      </c>
      <c r="D213" s="40" t="s">
        <v>732</v>
      </c>
      <c r="E213" s="27">
        <v>244</v>
      </c>
      <c r="F213" s="26"/>
      <c r="G213" s="27"/>
      <c r="H213" s="1"/>
      <c r="I213" s="1"/>
      <c r="J213" s="1"/>
      <c r="K213" s="1"/>
      <c r="L213" s="1"/>
    </row>
    <row r="214" spans="1:12" x14ac:dyDescent="0.25">
      <c r="A214" s="1"/>
      <c r="B214" s="20">
        <v>2</v>
      </c>
      <c r="C214" s="28">
        <v>50</v>
      </c>
      <c r="D214" s="40" t="s">
        <v>734</v>
      </c>
      <c r="E214" s="27">
        <v>368</v>
      </c>
      <c r="F214" s="26"/>
      <c r="G214" s="27"/>
      <c r="H214" s="1"/>
      <c r="I214" s="1"/>
      <c r="J214" s="1"/>
      <c r="K214" s="1"/>
      <c r="L214" s="1"/>
    </row>
    <row r="215" spans="1:12" x14ac:dyDescent="0.25">
      <c r="A215" s="1"/>
      <c r="B215" s="34"/>
      <c r="C215" s="34"/>
      <c r="D215" s="35"/>
      <c r="E215" s="36"/>
      <c r="F215" s="17"/>
      <c r="G215" s="19"/>
      <c r="H215" s="1"/>
      <c r="I215" s="1"/>
      <c r="J215" s="1"/>
      <c r="K215" s="1"/>
      <c r="L215" s="1"/>
    </row>
    <row r="216" spans="1:12" x14ac:dyDescent="0.25">
      <c r="A216" s="1"/>
      <c r="B216" s="37" t="s">
        <v>735</v>
      </c>
      <c r="C216" s="38"/>
      <c r="D216" s="39"/>
      <c r="E216" s="36"/>
      <c r="F216" s="17"/>
      <c r="G216" s="19"/>
      <c r="H216" s="1"/>
      <c r="I216" s="1"/>
      <c r="J216" s="1"/>
      <c r="K216" s="1"/>
      <c r="L216" s="1"/>
    </row>
    <row r="217" spans="1:12" x14ac:dyDescent="0.25">
      <c r="A217" s="1"/>
      <c r="B217" s="21" t="s">
        <v>16</v>
      </c>
      <c r="C217" s="48">
        <v>20</v>
      </c>
      <c r="D217" s="49" t="s">
        <v>738</v>
      </c>
      <c r="E217" s="25">
        <v>62</v>
      </c>
      <c r="F217" s="26" t="s">
        <v>740</v>
      </c>
      <c r="G217" s="27">
        <v>72</v>
      </c>
      <c r="H217" s="1"/>
      <c r="I217" s="1"/>
      <c r="J217" s="1"/>
      <c r="K217" s="1"/>
      <c r="L217" s="1"/>
    </row>
    <row r="218" spans="1:12" x14ac:dyDescent="0.25">
      <c r="A218" s="1"/>
      <c r="B218" s="20" t="s">
        <v>21</v>
      </c>
      <c r="C218" s="28">
        <v>25</v>
      </c>
      <c r="D218" s="40" t="s">
        <v>741</v>
      </c>
      <c r="E218" s="25">
        <v>89</v>
      </c>
      <c r="F218" s="26" t="s">
        <v>742</v>
      </c>
      <c r="G218" s="27">
        <v>102</v>
      </c>
      <c r="H218" s="1"/>
      <c r="I218" s="1"/>
      <c r="J218" s="1"/>
      <c r="K218" s="1"/>
      <c r="L218" s="1"/>
    </row>
    <row r="219" spans="1:12" x14ac:dyDescent="0.25">
      <c r="A219" s="1"/>
      <c r="B219" s="20" t="s">
        <v>27</v>
      </c>
      <c r="C219" s="28">
        <v>32</v>
      </c>
      <c r="D219" s="40" t="s">
        <v>743</v>
      </c>
      <c r="E219" s="25">
        <v>148</v>
      </c>
      <c r="F219" s="26" t="s">
        <v>744</v>
      </c>
      <c r="G219" s="27">
        <v>180</v>
      </c>
      <c r="H219" s="1"/>
      <c r="I219" s="1"/>
      <c r="J219" s="1"/>
      <c r="K219" s="1"/>
      <c r="L219" s="1"/>
    </row>
    <row r="220" spans="1:12" x14ac:dyDescent="0.25">
      <c r="A220" s="1"/>
      <c r="B220" s="20" t="s">
        <v>33</v>
      </c>
      <c r="C220" s="28">
        <v>40</v>
      </c>
      <c r="D220" s="40" t="s">
        <v>745</v>
      </c>
      <c r="E220" s="25">
        <v>198</v>
      </c>
      <c r="F220" s="26" t="s">
        <v>747</v>
      </c>
      <c r="G220" s="27">
        <v>218</v>
      </c>
      <c r="H220" s="1"/>
      <c r="I220" s="1"/>
      <c r="J220" s="1"/>
      <c r="K220" s="1"/>
      <c r="L220" s="1"/>
    </row>
    <row r="221" spans="1:12" x14ac:dyDescent="0.25">
      <c r="A221" s="1"/>
      <c r="B221" s="20">
        <v>2</v>
      </c>
      <c r="C221" s="28">
        <v>50</v>
      </c>
      <c r="D221" s="40" t="s">
        <v>748</v>
      </c>
      <c r="E221" s="25">
        <v>344</v>
      </c>
      <c r="F221" s="26" t="s">
        <v>749</v>
      </c>
      <c r="G221" s="27">
        <v>345</v>
      </c>
      <c r="H221" s="1"/>
      <c r="I221" s="1"/>
      <c r="J221" s="1"/>
      <c r="K221" s="1"/>
      <c r="L221" s="1"/>
    </row>
    <row r="222" spans="1:12" x14ac:dyDescent="0.25">
      <c r="A222" s="1"/>
      <c r="B222" s="20" t="s">
        <v>54</v>
      </c>
      <c r="C222" s="28">
        <v>65</v>
      </c>
      <c r="D222" s="40" t="s">
        <v>750</v>
      </c>
      <c r="E222" s="25">
        <v>1280</v>
      </c>
      <c r="F222" s="26"/>
      <c r="G222" s="63"/>
      <c r="H222" s="1"/>
      <c r="I222" s="1"/>
      <c r="J222" s="1"/>
      <c r="K222" s="1"/>
      <c r="L222" s="1"/>
    </row>
    <row r="223" spans="1:12" x14ac:dyDescent="0.25">
      <c r="A223" s="1"/>
      <c r="B223" s="20">
        <v>3</v>
      </c>
      <c r="C223" s="28">
        <v>80</v>
      </c>
      <c r="D223" s="40" t="s">
        <v>751</v>
      </c>
      <c r="E223" s="25">
        <v>1898</v>
      </c>
      <c r="F223" s="26"/>
      <c r="G223" s="63"/>
      <c r="H223" s="1"/>
      <c r="I223" s="1"/>
      <c r="J223" s="1"/>
      <c r="K223" s="1"/>
      <c r="L223" s="1"/>
    </row>
    <row r="224" spans="1:12" x14ac:dyDescent="0.25">
      <c r="A224" s="1"/>
      <c r="B224" s="20">
        <v>4</v>
      </c>
      <c r="C224" s="28">
        <v>100</v>
      </c>
      <c r="D224" s="40" t="s">
        <v>753</v>
      </c>
      <c r="E224" s="25">
        <v>3780</v>
      </c>
      <c r="F224" s="26"/>
      <c r="G224" s="63"/>
      <c r="H224" s="1"/>
      <c r="I224" s="1"/>
      <c r="J224" s="1"/>
      <c r="K224" s="1"/>
      <c r="L224" s="1"/>
    </row>
    <row r="225" spans="1:12" x14ac:dyDescent="0.25">
      <c r="A225" s="1"/>
      <c r="B225" s="34"/>
      <c r="C225" s="34"/>
      <c r="D225" s="35"/>
      <c r="E225" s="36"/>
      <c r="F225" s="17"/>
      <c r="G225" s="19"/>
      <c r="H225" s="1"/>
      <c r="I225" s="1"/>
      <c r="J225" s="1"/>
      <c r="K225" s="1"/>
      <c r="L225" s="1"/>
    </row>
    <row r="226" spans="1:12" x14ac:dyDescent="0.25">
      <c r="A226" s="1"/>
      <c r="B226" s="37" t="s">
        <v>755</v>
      </c>
      <c r="C226" s="38"/>
      <c r="D226" s="39"/>
      <c r="E226" s="36"/>
      <c r="F226" s="17"/>
      <c r="G226" s="19"/>
      <c r="H226" s="1"/>
      <c r="I226" s="1"/>
      <c r="J226" s="1"/>
      <c r="K226" s="1"/>
      <c r="L226" s="1"/>
    </row>
    <row r="227" spans="1:12" x14ac:dyDescent="0.25">
      <c r="A227" s="1"/>
      <c r="B227" s="21" t="s">
        <v>43</v>
      </c>
      <c r="C227" s="48" t="s">
        <v>44</v>
      </c>
      <c r="D227" s="49" t="s">
        <v>756</v>
      </c>
      <c r="E227" s="27">
        <v>104</v>
      </c>
      <c r="F227" s="26"/>
      <c r="G227" s="27"/>
      <c r="H227" s="1"/>
      <c r="I227" s="1"/>
      <c r="J227" s="1"/>
      <c r="K227" s="1"/>
      <c r="L227" s="1"/>
    </row>
    <row r="228" spans="1:12" x14ac:dyDescent="0.25">
      <c r="A228" s="1"/>
      <c r="B228" s="20" t="s">
        <v>172</v>
      </c>
      <c r="C228" s="28" t="s">
        <v>174</v>
      </c>
      <c r="D228" s="40" t="s">
        <v>758</v>
      </c>
      <c r="E228" s="27">
        <v>118</v>
      </c>
      <c r="F228" s="26"/>
      <c r="G228" s="27"/>
      <c r="H228" s="1"/>
      <c r="I228" s="1"/>
      <c r="J228" s="1"/>
      <c r="K228" s="1"/>
      <c r="L228" s="1"/>
    </row>
    <row r="229" spans="1:12" x14ac:dyDescent="0.25">
      <c r="A229" s="1"/>
      <c r="B229" s="20" t="s">
        <v>102</v>
      </c>
      <c r="C229" s="28" t="s">
        <v>104</v>
      </c>
      <c r="D229" s="40" t="s">
        <v>759</v>
      </c>
      <c r="E229" s="27">
        <v>212</v>
      </c>
      <c r="F229" s="26"/>
      <c r="G229" s="27"/>
      <c r="H229" s="1"/>
      <c r="I229" s="1"/>
      <c r="J229" s="1"/>
      <c r="K229" s="1"/>
      <c r="L229" s="1"/>
    </row>
    <row r="230" spans="1:12" x14ac:dyDescent="0.25">
      <c r="A230" s="1"/>
      <c r="B230" s="20" t="s">
        <v>318</v>
      </c>
      <c r="C230" s="28" t="s">
        <v>319</v>
      </c>
      <c r="D230" s="40" t="s">
        <v>760</v>
      </c>
      <c r="E230" s="27">
        <v>94</v>
      </c>
      <c r="F230" s="26"/>
      <c r="G230" s="27"/>
      <c r="H230" s="1"/>
      <c r="I230" s="1"/>
      <c r="J230" s="1"/>
      <c r="K230" s="1"/>
      <c r="L230" s="1"/>
    </row>
    <row r="231" spans="1:12" x14ac:dyDescent="0.25">
      <c r="A231" s="1"/>
      <c r="B231" s="20" t="s">
        <v>328</v>
      </c>
      <c r="C231" s="28" t="s">
        <v>329</v>
      </c>
      <c r="D231" s="40" t="s">
        <v>762</v>
      </c>
      <c r="E231" s="27">
        <v>212</v>
      </c>
      <c r="F231" s="26"/>
      <c r="G231" s="27"/>
      <c r="H231" s="1"/>
      <c r="I231" s="1"/>
      <c r="J231" s="1"/>
      <c r="K231" s="1"/>
      <c r="L231" s="1"/>
    </row>
    <row r="232" spans="1:12" x14ac:dyDescent="0.25">
      <c r="A232" s="1"/>
      <c r="B232" s="20" t="s">
        <v>764</v>
      </c>
      <c r="C232" s="28" t="s">
        <v>765</v>
      </c>
      <c r="D232" s="40" t="s">
        <v>766</v>
      </c>
      <c r="E232" s="27">
        <v>298</v>
      </c>
      <c r="F232" s="26"/>
      <c r="G232" s="27"/>
      <c r="H232" s="1"/>
      <c r="I232" s="1"/>
      <c r="J232" s="1"/>
      <c r="K232" s="1"/>
      <c r="L232" s="1"/>
    </row>
    <row r="233" spans="1:12" x14ac:dyDescent="0.25">
      <c r="A233" s="1"/>
      <c r="B233" s="20" t="s">
        <v>767</v>
      </c>
      <c r="C233" s="28" t="s">
        <v>768</v>
      </c>
      <c r="D233" s="40" t="s">
        <v>769</v>
      </c>
      <c r="E233" s="27">
        <v>498</v>
      </c>
      <c r="F233" s="26"/>
      <c r="G233" s="63"/>
      <c r="H233" s="1"/>
      <c r="I233" s="1"/>
      <c r="J233" s="1"/>
      <c r="K233" s="1"/>
      <c r="L233" s="1"/>
    </row>
    <row r="234" spans="1:12" x14ac:dyDescent="0.25">
      <c r="A234" s="1"/>
      <c r="B234" s="34"/>
      <c r="C234" s="34"/>
      <c r="D234" s="35"/>
      <c r="E234" s="36"/>
      <c r="F234" s="17"/>
      <c r="G234" s="19"/>
      <c r="H234" s="1"/>
      <c r="I234" s="1"/>
      <c r="J234" s="1"/>
      <c r="K234" s="1"/>
      <c r="L234" s="1"/>
    </row>
    <row r="235" spans="1:12" x14ac:dyDescent="0.25">
      <c r="A235" s="1"/>
      <c r="B235" s="37" t="s">
        <v>770</v>
      </c>
      <c r="C235" s="38"/>
      <c r="D235" s="39"/>
      <c r="E235" s="36"/>
      <c r="F235" s="17"/>
      <c r="G235" s="19"/>
      <c r="H235" s="1"/>
      <c r="I235" s="1"/>
      <c r="J235" s="1"/>
      <c r="K235" s="1"/>
      <c r="L235" s="1"/>
    </row>
    <row r="236" spans="1:12" x14ac:dyDescent="0.25">
      <c r="A236" s="1"/>
      <c r="B236" s="21" t="s">
        <v>771</v>
      </c>
      <c r="C236" s="48" t="s">
        <v>772</v>
      </c>
      <c r="D236" s="49" t="s">
        <v>773</v>
      </c>
      <c r="E236" s="27">
        <v>104</v>
      </c>
      <c r="F236" s="26"/>
      <c r="G236" s="27"/>
      <c r="H236" s="1"/>
      <c r="I236" s="1"/>
      <c r="J236" s="1"/>
      <c r="K236" s="1"/>
      <c r="L236" s="1"/>
    </row>
    <row r="237" spans="1:12" x14ac:dyDescent="0.25">
      <c r="A237" s="1"/>
      <c r="B237" s="20" t="s">
        <v>260</v>
      </c>
      <c r="C237" s="28" t="s">
        <v>263</v>
      </c>
      <c r="D237" s="40" t="s">
        <v>775</v>
      </c>
      <c r="E237" s="27">
        <v>116</v>
      </c>
      <c r="F237" s="26"/>
      <c r="G237" s="27"/>
      <c r="H237" s="1"/>
      <c r="I237" s="1"/>
      <c r="J237" s="1"/>
      <c r="K237" s="1"/>
      <c r="L237" s="1"/>
    </row>
    <row r="238" spans="1:12" x14ac:dyDescent="0.25">
      <c r="A238" s="1"/>
      <c r="B238" s="20" t="s">
        <v>466</v>
      </c>
      <c r="C238" s="28" t="s">
        <v>467</v>
      </c>
      <c r="D238" s="40" t="s">
        <v>776</v>
      </c>
      <c r="E238" s="27">
        <v>136</v>
      </c>
      <c r="F238" s="26"/>
      <c r="G238" s="27"/>
      <c r="H238" s="1"/>
      <c r="I238" s="1"/>
      <c r="J238" s="1"/>
      <c r="K238" s="1"/>
      <c r="L238" s="1"/>
    </row>
    <row r="239" spans="1:12" x14ac:dyDescent="0.25">
      <c r="A239" s="1"/>
      <c r="B239" s="20" t="s">
        <v>780</v>
      </c>
      <c r="C239" s="28" t="s">
        <v>781</v>
      </c>
      <c r="D239" s="40" t="s">
        <v>782</v>
      </c>
      <c r="E239" s="27">
        <v>378</v>
      </c>
      <c r="F239" s="26"/>
      <c r="G239" s="27"/>
      <c r="H239" s="1"/>
      <c r="I239" s="1"/>
      <c r="J239" s="1"/>
      <c r="K239" s="1"/>
      <c r="L239" s="1"/>
    </row>
    <row r="240" spans="1:12" x14ac:dyDescent="0.25">
      <c r="A240" s="1"/>
      <c r="B240" s="20" t="s">
        <v>784</v>
      </c>
      <c r="C240" s="28" t="s">
        <v>785</v>
      </c>
      <c r="D240" s="40" t="s">
        <v>786</v>
      </c>
      <c r="E240" s="27">
        <v>194</v>
      </c>
      <c r="F240" s="26"/>
      <c r="G240" s="27"/>
      <c r="H240" s="1"/>
      <c r="I240" s="1"/>
      <c r="J240" s="1"/>
      <c r="K240" s="1"/>
      <c r="L240" s="1"/>
    </row>
    <row r="241" spans="1:12" x14ac:dyDescent="0.25">
      <c r="A241" s="1"/>
      <c r="B241" s="20" t="s">
        <v>471</v>
      </c>
      <c r="C241" s="28" t="s">
        <v>472</v>
      </c>
      <c r="D241" s="40" t="s">
        <v>787</v>
      </c>
      <c r="E241" s="27">
        <v>174</v>
      </c>
      <c r="F241" s="26"/>
      <c r="G241" s="27"/>
      <c r="H241" s="1"/>
      <c r="I241" s="1"/>
      <c r="J241" s="1"/>
      <c r="K241" s="1"/>
      <c r="L241" s="1"/>
    </row>
    <row r="242" spans="1:12" x14ac:dyDescent="0.25">
      <c r="A242" s="1"/>
      <c r="B242" s="20" t="s">
        <v>789</v>
      </c>
      <c r="C242" s="28" t="s">
        <v>790</v>
      </c>
      <c r="D242" s="40" t="s">
        <v>791</v>
      </c>
      <c r="E242" s="27">
        <v>498</v>
      </c>
      <c r="F242" s="26"/>
      <c r="G242" s="63"/>
      <c r="H242" s="1"/>
      <c r="I242" s="1"/>
      <c r="J242" s="1"/>
      <c r="K242" s="1"/>
      <c r="L242" s="1"/>
    </row>
    <row r="243" spans="1:12" x14ac:dyDescent="0.25">
      <c r="A243" s="1"/>
      <c r="B243" s="34"/>
      <c r="C243" s="34"/>
      <c r="D243" s="35"/>
      <c r="E243" s="36"/>
      <c r="F243" s="17"/>
      <c r="G243" s="19"/>
      <c r="H243" s="1"/>
      <c r="I243" s="1"/>
      <c r="J243" s="1"/>
      <c r="K243" s="1"/>
      <c r="L243" s="1"/>
    </row>
    <row r="244" spans="1:12" x14ac:dyDescent="0.25">
      <c r="A244" s="1"/>
      <c r="B244" s="37" t="s">
        <v>793</v>
      </c>
      <c r="C244" s="38"/>
      <c r="D244" s="39"/>
      <c r="E244" s="36"/>
      <c r="F244" s="17"/>
      <c r="G244" s="19"/>
      <c r="H244" s="1"/>
      <c r="I244" s="1"/>
      <c r="J244" s="1"/>
      <c r="K244" s="1"/>
      <c r="L244" s="1"/>
    </row>
    <row r="245" spans="1:12" x14ac:dyDescent="0.25">
      <c r="A245" s="1"/>
      <c r="B245" s="21" t="s">
        <v>43</v>
      </c>
      <c r="C245" s="48" t="s">
        <v>44</v>
      </c>
      <c r="D245" s="49" t="s">
        <v>794</v>
      </c>
      <c r="E245" s="27">
        <v>98</v>
      </c>
      <c r="F245" s="26"/>
      <c r="G245" s="63"/>
      <c r="H245" s="1"/>
      <c r="I245" s="1"/>
      <c r="J245" s="1"/>
      <c r="K245" s="1"/>
      <c r="L245" s="1"/>
    </row>
    <row r="246" spans="1:12" x14ac:dyDescent="0.25">
      <c r="A246" s="1"/>
      <c r="B246" s="20" t="s">
        <v>172</v>
      </c>
      <c r="C246" s="28" t="s">
        <v>174</v>
      </c>
      <c r="D246" s="40" t="s">
        <v>796</v>
      </c>
      <c r="E246" s="27">
        <v>118</v>
      </c>
      <c r="F246" s="26"/>
      <c r="G246" s="63"/>
      <c r="H246" s="1"/>
      <c r="I246" s="1"/>
      <c r="J246" s="1"/>
      <c r="K246" s="1"/>
      <c r="L246" s="1"/>
    </row>
    <row r="247" spans="1:12" x14ac:dyDescent="0.25">
      <c r="A247" s="1"/>
      <c r="B247" s="20" t="s">
        <v>102</v>
      </c>
      <c r="C247" s="28" t="s">
        <v>104</v>
      </c>
      <c r="D247" s="40" t="s">
        <v>797</v>
      </c>
      <c r="E247" s="27">
        <v>198</v>
      </c>
      <c r="F247" s="26"/>
      <c r="G247" s="63"/>
      <c r="H247" s="1"/>
      <c r="I247" s="1"/>
      <c r="J247" s="1"/>
      <c r="K247" s="1"/>
      <c r="L247" s="1"/>
    </row>
    <row r="248" spans="1:12" x14ac:dyDescent="0.25">
      <c r="A248" s="1"/>
      <c r="B248" s="34"/>
      <c r="C248" s="34"/>
      <c r="D248" s="35"/>
      <c r="E248" s="36"/>
      <c r="F248" s="17"/>
      <c r="G248" s="19"/>
      <c r="H248" s="1"/>
      <c r="I248" s="1"/>
      <c r="J248" s="1"/>
      <c r="K248" s="1"/>
      <c r="L248" s="1"/>
    </row>
    <row r="249" spans="1:12" x14ac:dyDescent="0.25">
      <c r="A249" s="1"/>
      <c r="B249" s="37" t="s">
        <v>799</v>
      </c>
      <c r="C249" s="38"/>
      <c r="D249" s="39"/>
      <c r="E249" s="36"/>
      <c r="F249" s="17"/>
      <c r="G249" s="19"/>
      <c r="H249" s="1"/>
      <c r="I249" s="1"/>
      <c r="J249" s="1"/>
      <c r="K249" s="1"/>
      <c r="L249" s="1"/>
    </row>
    <row r="250" spans="1:12" x14ac:dyDescent="0.25">
      <c r="A250" s="1"/>
      <c r="B250" s="21" t="s">
        <v>43</v>
      </c>
      <c r="C250" s="48" t="s">
        <v>44</v>
      </c>
      <c r="D250" s="49" t="s">
        <v>801</v>
      </c>
      <c r="E250" s="27">
        <v>482</v>
      </c>
      <c r="F250" s="26" t="s">
        <v>802</v>
      </c>
      <c r="G250" s="27">
        <v>450</v>
      </c>
      <c r="H250" s="1"/>
      <c r="I250" s="1"/>
      <c r="J250" s="1"/>
      <c r="K250" s="1"/>
      <c r="L250" s="1"/>
    </row>
    <row r="251" spans="1:12" x14ac:dyDescent="0.25">
      <c r="A251" s="1"/>
      <c r="B251" s="34"/>
      <c r="C251" s="34"/>
      <c r="D251" s="35"/>
      <c r="E251" s="36"/>
      <c r="F251" s="17"/>
      <c r="G251" s="19"/>
      <c r="H251" s="1"/>
      <c r="I251" s="1"/>
      <c r="J251" s="1"/>
      <c r="K251" s="1"/>
      <c r="L251" s="1"/>
    </row>
    <row r="252" spans="1:12" x14ac:dyDescent="0.25">
      <c r="A252" s="1"/>
      <c r="B252" s="37" t="s">
        <v>799</v>
      </c>
      <c r="C252" s="38"/>
      <c r="D252" s="39"/>
      <c r="E252" s="36"/>
      <c r="F252" s="17"/>
      <c r="G252" s="19"/>
      <c r="H252" s="1"/>
      <c r="I252" s="1"/>
      <c r="J252" s="1"/>
      <c r="K252" s="1"/>
      <c r="L252" s="1"/>
    </row>
    <row r="253" spans="1:12" x14ac:dyDescent="0.25">
      <c r="A253" s="1"/>
      <c r="B253" s="21" t="s">
        <v>172</v>
      </c>
      <c r="C253" s="48" t="s">
        <v>174</v>
      </c>
      <c r="D253" s="49" t="s">
        <v>804</v>
      </c>
      <c r="E253" s="27">
        <v>558</v>
      </c>
      <c r="F253" s="26" t="s">
        <v>805</v>
      </c>
      <c r="G253" s="27">
        <v>675</v>
      </c>
      <c r="H253" s="1"/>
      <c r="I253" s="1"/>
      <c r="J253" s="1"/>
      <c r="K253" s="1"/>
      <c r="L253" s="1"/>
    </row>
    <row r="254" spans="1:12" x14ac:dyDescent="0.25">
      <c r="A254" s="1"/>
      <c r="B254" s="34"/>
      <c r="C254" s="34"/>
      <c r="D254" s="35"/>
      <c r="E254" s="36"/>
      <c r="F254" s="17"/>
      <c r="G254" s="19"/>
      <c r="H254" s="1"/>
      <c r="I254" s="1"/>
      <c r="J254" s="1"/>
      <c r="K254" s="1"/>
      <c r="L254" s="1"/>
    </row>
    <row r="255" spans="1:12" x14ac:dyDescent="0.25">
      <c r="A255" s="1"/>
      <c r="B255" s="37" t="s">
        <v>807</v>
      </c>
      <c r="C255" s="38"/>
      <c r="D255" s="39"/>
      <c r="E255" s="36"/>
      <c r="F255" s="17"/>
      <c r="G255" s="19"/>
      <c r="H255" s="1"/>
      <c r="I255" s="1"/>
      <c r="J255" s="1"/>
      <c r="K255" s="1"/>
      <c r="L255" s="1"/>
    </row>
    <row r="256" spans="1:12" x14ac:dyDescent="0.25">
      <c r="A256" s="1"/>
      <c r="B256" s="21" t="s">
        <v>43</v>
      </c>
      <c r="C256" s="48" t="s">
        <v>44</v>
      </c>
      <c r="D256" s="49" t="s">
        <v>809</v>
      </c>
      <c r="E256" s="27">
        <v>460</v>
      </c>
      <c r="F256" s="26"/>
      <c r="G256" s="27"/>
      <c r="H256" s="1"/>
      <c r="I256" s="1"/>
      <c r="J256" s="1"/>
      <c r="K256" s="1"/>
      <c r="L256" s="1"/>
    </row>
    <row r="257" spans="1:12" x14ac:dyDescent="0.25">
      <c r="A257" s="1"/>
      <c r="B257" s="34"/>
      <c r="C257" s="34"/>
      <c r="D257" s="35"/>
      <c r="E257" s="36"/>
      <c r="F257" s="17"/>
      <c r="G257" s="19"/>
      <c r="H257" s="1"/>
      <c r="I257" s="1"/>
      <c r="J257" s="1"/>
      <c r="K257" s="1"/>
      <c r="L257" s="1"/>
    </row>
    <row r="258" spans="1:12" x14ac:dyDescent="0.25">
      <c r="A258" s="1"/>
      <c r="B258" s="37" t="s">
        <v>810</v>
      </c>
      <c r="C258" s="38"/>
      <c r="D258" s="39"/>
      <c r="E258" s="36"/>
      <c r="F258" s="17"/>
      <c r="G258" s="19"/>
      <c r="H258" s="1"/>
      <c r="I258" s="1"/>
      <c r="J258" s="1"/>
      <c r="K258" s="1"/>
      <c r="L258" s="1"/>
    </row>
    <row r="259" spans="1:12" x14ac:dyDescent="0.25">
      <c r="A259" s="1"/>
      <c r="B259" s="21" t="s">
        <v>10</v>
      </c>
      <c r="C259" s="48">
        <v>15</v>
      </c>
      <c r="D259" s="49" t="s">
        <v>811</v>
      </c>
      <c r="E259" s="27">
        <v>8.1999999999999993</v>
      </c>
      <c r="F259" s="26" t="s">
        <v>812</v>
      </c>
      <c r="G259" s="27">
        <v>20</v>
      </c>
      <c r="H259" s="1"/>
      <c r="I259" s="1"/>
      <c r="J259" s="1"/>
      <c r="K259" s="1"/>
      <c r="L259" s="1"/>
    </row>
    <row r="260" spans="1:12" x14ac:dyDescent="0.25">
      <c r="A260" s="1"/>
      <c r="B260" s="20" t="s">
        <v>16</v>
      </c>
      <c r="C260" s="28">
        <v>20</v>
      </c>
      <c r="D260" s="40" t="s">
        <v>813</v>
      </c>
      <c r="E260" s="27">
        <v>9.8000000000000007</v>
      </c>
      <c r="F260" s="26" t="s">
        <v>814</v>
      </c>
      <c r="G260" s="27">
        <v>23</v>
      </c>
      <c r="H260" s="1"/>
      <c r="I260" s="1"/>
      <c r="J260" s="1"/>
      <c r="K260" s="1"/>
      <c r="L260" s="1"/>
    </row>
    <row r="261" spans="1:12" x14ac:dyDescent="0.25">
      <c r="A261" s="1"/>
      <c r="B261" s="34"/>
      <c r="C261" s="34"/>
      <c r="D261" s="35"/>
      <c r="E261" s="36"/>
      <c r="F261" s="17"/>
      <c r="G261" s="19"/>
      <c r="H261" s="1"/>
      <c r="I261" s="1"/>
      <c r="J261" s="1"/>
      <c r="K261" s="1"/>
      <c r="L261" s="1"/>
    </row>
    <row r="262" spans="1:12" x14ac:dyDescent="0.25">
      <c r="A262" s="1"/>
      <c r="B262" s="37" t="s">
        <v>816</v>
      </c>
      <c r="C262" s="38"/>
      <c r="D262" s="39"/>
      <c r="E262" s="36"/>
      <c r="F262" s="17"/>
      <c r="G262" s="19"/>
      <c r="H262" s="1"/>
      <c r="I262" s="1"/>
      <c r="J262" s="1"/>
      <c r="K262" s="1"/>
      <c r="L262" s="1"/>
    </row>
    <row r="263" spans="1:12" x14ac:dyDescent="0.25">
      <c r="A263" s="1"/>
      <c r="B263" s="21" t="s">
        <v>16</v>
      </c>
      <c r="C263" s="48">
        <v>20</v>
      </c>
      <c r="D263" s="49" t="s">
        <v>817</v>
      </c>
      <c r="E263" s="27">
        <v>92.8</v>
      </c>
      <c r="F263" s="26" t="s">
        <v>818</v>
      </c>
      <c r="G263" s="27">
        <v>115</v>
      </c>
      <c r="H263" s="1"/>
      <c r="I263" s="1"/>
      <c r="J263" s="1"/>
      <c r="K263" s="1"/>
      <c r="L263" s="1"/>
    </row>
    <row r="264" spans="1:12" x14ac:dyDescent="0.25">
      <c r="A264" s="1"/>
      <c r="B264" s="20" t="s">
        <v>21</v>
      </c>
      <c r="C264" s="28">
        <v>25</v>
      </c>
      <c r="D264" s="40" t="s">
        <v>819</v>
      </c>
      <c r="E264" s="27">
        <v>136</v>
      </c>
      <c r="F264" s="26" t="s">
        <v>821</v>
      </c>
      <c r="G264" s="27">
        <v>204</v>
      </c>
      <c r="H264" s="1"/>
      <c r="I264" s="1"/>
      <c r="J264" s="1"/>
      <c r="K264" s="1"/>
      <c r="L264" s="1"/>
    </row>
    <row r="265" spans="1:12" x14ac:dyDescent="0.25">
      <c r="A265" s="1"/>
      <c r="B265" s="20" t="s">
        <v>27</v>
      </c>
      <c r="C265" s="28">
        <v>32</v>
      </c>
      <c r="D265" s="40" t="s">
        <v>822</v>
      </c>
      <c r="E265" s="27">
        <v>278</v>
      </c>
      <c r="F265" s="26" t="s">
        <v>823</v>
      </c>
      <c r="G265" s="27">
        <v>275</v>
      </c>
      <c r="H265" s="1"/>
      <c r="I265" s="1"/>
      <c r="J265" s="1"/>
      <c r="K265" s="1"/>
      <c r="L265" s="1"/>
    </row>
    <row r="266" spans="1:12" x14ac:dyDescent="0.25">
      <c r="A266" s="1"/>
      <c r="B266" s="20" t="s">
        <v>33</v>
      </c>
      <c r="C266" s="28">
        <v>40</v>
      </c>
      <c r="D266" s="40" t="s">
        <v>824</v>
      </c>
      <c r="E266" s="27">
        <v>544</v>
      </c>
      <c r="F266" s="26"/>
      <c r="G266" s="27"/>
      <c r="H266" s="1"/>
      <c r="I266" s="1"/>
      <c r="J266" s="1"/>
      <c r="K266" s="1"/>
      <c r="L266" s="1"/>
    </row>
    <row r="267" spans="1:12" x14ac:dyDescent="0.25">
      <c r="A267" s="1"/>
      <c r="B267" s="34"/>
      <c r="C267" s="34"/>
      <c r="D267" s="35"/>
      <c r="E267" s="36"/>
      <c r="F267" s="17"/>
      <c r="G267" s="19"/>
      <c r="H267" s="1"/>
      <c r="I267" s="1"/>
      <c r="J267" s="1"/>
      <c r="K267" s="1"/>
      <c r="L267" s="1"/>
    </row>
    <row r="268" spans="1:12" x14ac:dyDescent="0.25">
      <c r="A268" s="1"/>
      <c r="B268" s="37" t="s">
        <v>826</v>
      </c>
      <c r="C268" s="38"/>
      <c r="D268" s="39"/>
      <c r="E268" s="36"/>
      <c r="F268" s="17"/>
      <c r="G268" s="19"/>
      <c r="H268" s="1"/>
      <c r="I268" s="1"/>
      <c r="J268" s="1"/>
      <c r="K268" s="1"/>
      <c r="L268" s="1"/>
    </row>
    <row r="269" spans="1:12" x14ac:dyDescent="0.25">
      <c r="A269" s="1"/>
      <c r="B269" s="21" t="s">
        <v>16</v>
      </c>
      <c r="C269" s="48">
        <v>20</v>
      </c>
      <c r="D269" s="49" t="s">
        <v>827</v>
      </c>
      <c r="E269" s="27">
        <v>24</v>
      </c>
      <c r="F269" s="26"/>
      <c r="G269" s="27"/>
      <c r="H269" s="1"/>
      <c r="I269" s="1"/>
      <c r="J269" s="1"/>
      <c r="K269" s="1"/>
      <c r="L269" s="1"/>
    </row>
    <row r="270" spans="1:12" x14ac:dyDescent="0.25">
      <c r="A270" s="1"/>
      <c r="B270" s="20" t="s">
        <v>21</v>
      </c>
      <c r="C270" s="28">
        <v>25</v>
      </c>
      <c r="D270" s="40" t="s">
        <v>828</v>
      </c>
      <c r="E270" s="27">
        <v>34</v>
      </c>
      <c r="F270" s="26"/>
      <c r="G270" s="27"/>
      <c r="H270" s="1"/>
      <c r="I270" s="1"/>
      <c r="J270" s="1"/>
      <c r="K270" s="1"/>
      <c r="L270" s="1"/>
    </row>
    <row r="271" spans="1:12" x14ac:dyDescent="0.25">
      <c r="A271" s="1"/>
      <c r="B271" s="20" t="s">
        <v>27</v>
      </c>
      <c r="C271" s="28">
        <v>32</v>
      </c>
      <c r="D271" s="40" t="s">
        <v>829</v>
      </c>
      <c r="E271" s="27">
        <v>58</v>
      </c>
      <c r="F271" s="26"/>
      <c r="G271" s="27"/>
      <c r="H271" s="1"/>
      <c r="I271" s="1"/>
      <c r="J271" s="1"/>
      <c r="K271" s="1"/>
      <c r="L271" s="1"/>
    </row>
    <row r="272" spans="1:12" x14ac:dyDescent="0.25">
      <c r="A272" s="1"/>
      <c r="B272" s="20" t="s">
        <v>33</v>
      </c>
      <c r="C272" s="28">
        <v>40</v>
      </c>
      <c r="D272" s="40" t="s">
        <v>830</v>
      </c>
      <c r="E272" s="27">
        <v>72</v>
      </c>
      <c r="F272" s="26"/>
      <c r="G272" s="27"/>
      <c r="H272" s="1"/>
      <c r="I272" s="1"/>
      <c r="J272" s="1"/>
      <c r="K272" s="1"/>
      <c r="L272" s="1"/>
    </row>
    <row r="273" spans="1:12" x14ac:dyDescent="0.25">
      <c r="A273" s="1"/>
      <c r="B273" s="20" t="s">
        <v>38</v>
      </c>
      <c r="C273" s="28">
        <v>50</v>
      </c>
      <c r="D273" s="40" t="s">
        <v>831</v>
      </c>
      <c r="E273" s="27">
        <v>108</v>
      </c>
      <c r="F273" s="26"/>
      <c r="G273" s="27"/>
      <c r="H273" s="1"/>
      <c r="I273" s="1"/>
      <c r="J273" s="1"/>
      <c r="K273" s="1"/>
      <c r="L273" s="1"/>
    </row>
    <row r="274" spans="1:12" x14ac:dyDescent="0.25">
      <c r="A274" s="1"/>
      <c r="B274" s="34"/>
      <c r="C274" s="34"/>
      <c r="D274" s="35"/>
      <c r="E274" s="36"/>
      <c r="F274" s="17"/>
      <c r="G274" s="19"/>
      <c r="H274" s="1"/>
      <c r="I274" s="1"/>
      <c r="J274" s="1"/>
      <c r="K274" s="1"/>
      <c r="L274" s="1"/>
    </row>
    <row r="275" spans="1:12" x14ac:dyDescent="0.25">
      <c r="A275" s="1"/>
      <c r="B275" s="37" t="s">
        <v>833</v>
      </c>
      <c r="C275" s="38"/>
      <c r="D275" s="39"/>
      <c r="E275" s="36"/>
      <c r="F275" s="17"/>
      <c r="G275" s="19"/>
      <c r="H275" s="1"/>
      <c r="I275" s="1"/>
      <c r="J275" s="1"/>
      <c r="K275" s="1"/>
      <c r="L275" s="1"/>
    </row>
    <row r="276" spans="1:12" x14ac:dyDescent="0.25">
      <c r="A276" s="1"/>
      <c r="B276" s="21" t="s">
        <v>54</v>
      </c>
      <c r="C276" s="48">
        <v>65</v>
      </c>
      <c r="D276" s="49" t="s">
        <v>834</v>
      </c>
      <c r="E276" s="25">
        <v>1280</v>
      </c>
      <c r="F276" s="26"/>
      <c r="G276" s="27"/>
      <c r="H276" s="1"/>
      <c r="I276" s="1"/>
      <c r="J276" s="1"/>
      <c r="K276" s="1"/>
      <c r="L276" s="1"/>
    </row>
    <row r="277" spans="1:12" x14ac:dyDescent="0.25">
      <c r="A277" s="1"/>
      <c r="B277" s="20">
        <v>3</v>
      </c>
      <c r="C277" s="28">
        <v>80</v>
      </c>
      <c r="D277" s="40" t="s">
        <v>836</v>
      </c>
      <c r="E277" s="25">
        <v>1660</v>
      </c>
      <c r="F277" s="26"/>
      <c r="G277" s="27"/>
      <c r="H277" s="1"/>
      <c r="I277" s="1"/>
      <c r="J277" s="1"/>
      <c r="K277" s="1"/>
      <c r="L277" s="1"/>
    </row>
    <row r="278" spans="1:12" x14ac:dyDescent="0.25">
      <c r="A278" s="1"/>
      <c r="B278" s="20">
        <v>4</v>
      </c>
      <c r="C278" s="28">
        <v>100</v>
      </c>
      <c r="D278" s="40" t="s">
        <v>837</v>
      </c>
      <c r="E278" s="25">
        <v>2480</v>
      </c>
      <c r="F278" s="26"/>
      <c r="G278" s="27"/>
      <c r="H278" s="1"/>
      <c r="I278" s="1"/>
      <c r="J278" s="1"/>
      <c r="K278" s="1"/>
      <c r="L278" s="1"/>
    </row>
    <row r="279" spans="1:12" x14ac:dyDescent="0.25">
      <c r="A279" s="1"/>
      <c r="B279" s="34"/>
      <c r="C279" s="34"/>
      <c r="D279" s="35"/>
      <c r="E279" s="36"/>
      <c r="F279" s="17"/>
      <c r="G279" s="19"/>
      <c r="H279" s="1"/>
      <c r="I279" s="1"/>
      <c r="J279" s="1"/>
      <c r="K279" s="1"/>
      <c r="L279" s="1"/>
    </row>
    <row r="280" spans="1:12" x14ac:dyDescent="0.25">
      <c r="A280" s="1"/>
      <c r="B280" s="37" t="s">
        <v>838</v>
      </c>
      <c r="C280" s="38"/>
      <c r="D280" s="39"/>
      <c r="E280" s="36"/>
      <c r="F280" s="17"/>
      <c r="G280" s="19"/>
      <c r="H280" s="1"/>
      <c r="I280" s="1"/>
      <c r="J280" s="1"/>
      <c r="K280" s="1"/>
      <c r="L280" s="1"/>
    </row>
    <row r="281" spans="1:12" x14ac:dyDescent="0.25">
      <c r="A281" s="1"/>
      <c r="B281" s="21" t="s">
        <v>10</v>
      </c>
      <c r="C281" s="48">
        <v>15</v>
      </c>
      <c r="D281" s="49" t="s">
        <v>839</v>
      </c>
      <c r="E281" s="27">
        <v>4.2</v>
      </c>
      <c r="F281" s="26"/>
      <c r="G281" s="27"/>
      <c r="H281" s="1"/>
      <c r="I281" s="1"/>
      <c r="J281" s="1"/>
      <c r="K281" s="1"/>
      <c r="L281" s="1"/>
    </row>
    <row r="282" spans="1:12" x14ac:dyDescent="0.25">
      <c r="A282" s="1"/>
      <c r="B282" s="20" t="s">
        <v>16</v>
      </c>
      <c r="C282" s="28">
        <v>20</v>
      </c>
      <c r="D282" s="40" t="s">
        <v>840</v>
      </c>
      <c r="E282" s="27">
        <v>4.5999999999999996</v>
      </c>
      <c r="F282" s="26"/>
      <c r="G282" s="27"/>
      <c r="H282" s="1"/>
      <c r="I282" s="1"/>
      <c r="J282" s="1"/>
      <c r="K282" s="1"/>
      <c r="L282" s="1"/>
    </row>
    <row r="283" spans="1:12" x14ac:dyDescent="0.25">
      <c r="A283" s="1"/>
      <c r="B283" s="20">
        <v>1</v>
      </c>
      <c r="C283" s="28">
        <v>25</v>
      </c>
      <c r="D283" s="40" t="s">
        <v>842</v>
      </c>
      <c r="E283" s="27">
        <v>5.6</v>
      </c>
      <c r="F283" s="26"/>
      <c r="G283" s="27"/>
      <c r="H283" s="1"/>
      <c r="I283" s="1"/>
      <c r="J283" s="1"/>
      <c r="K283" s="1"/>
      <c r="L283" s="1"/>
    </row>
    <row r="284" spans="1:12" x14ac:dyDescent="0.25">
      <c r="A284" s="1"/>
      <c r="B284" s="34"/>
      <c r="C284" s="34"/>
      <c r="D284" s="35"/>
      <c r="E284" s="36"/>
      <c r="F284" s="17"/>
      <c r="G284" s="19"/>
      <c r="H284" s="1"/>
      <c r="I284" s="1"/>
      <c r="J284" s="1"/>
      <c r="K284" s="1"/>
      <c r="L284" s="1"/>
    </row>
    <row r="285" spans="1:12" x14ac:dyDescent="0.25">
      <c r="A285" s="1"/>
      <c r="B285" s="37" t="s">
        <v>843</v>
      </c>
      <c r="C285" s="38"/>
      <c r="D285" s="39"/>
      <c r="E285" s="36"/>
      <c r="F285" s="17"/>
      <c r="G285" s="19"/>
      <c r="H285" s="1"/>
      <c r="I285" s="1"/>
      <c r="J285" s="1"/>
      <c r="K285" s="1"/>
      <c r="L285" s="1"/>
    </row>
    <row r="286" spans="1:12" x14ac:dyDescent="0.25">
      <c r="A286" s="1"/>
      <c r="B286" s="21" t="s">
        <v>10</v>
      </c>
      <c r="C286" s="48">
        <v>15</v>
      </c>
      <c r="D286" s="49" t="s">
        <v>844</v>
      </c>
      <c r="E286" s="25">
        <v>10.4</v>
      </c>
      <c r="F286" s="26"/>
      <c r="G286" s="27"/>
      <c r="H286" s="1"/>
      <c r="I286" s="1"/>
      <c r="J286" s="1"/>
      <c r="K286" s="1"/>
      <c r="L286" s="1"/>
    </row>
    <row r="287" spans="1:12" x14ac:dyDescent="0.25">
      <c r="A287" s="1"/>
      <c r="B287" s="20" t="s">
        <v>16</v>
      </c>
      <c r="C287" s="28">
        <v>20</v>
      </c>
      <c r="D287" s="40" t="s">
        <v>846</v>
      </c>
      <c r="E287" s="25">
        <v>11.9</v>
      </c>
      <c r="F287" s="26"/>
      <c r="G287" s="27"/>
      <c r="H287" s="1"/>
      <c r="I287" s="1"/>
      <c r="J287" s="1"/>
      <c r="K287" s="1"/>
      <c r="L287" s="1"/>
    </row>
    <row r="288" spans="1:12" x14ac:dyDescent="0.25">
      <c r="A288" s="1"/>
      <c r="B288" s="20" t="s">
        <v>21</v>
      </c>
      <c r="C288" s="28">
        <v>25</v>
      </c>
      <c r="D288" s="40" t="s">
        <v>848</v>
      </c>
      <c r="E288" s="25">
        <v>13.9</v>
      </c>
      <c r="F288" s="26"/>
      <c r="G288" s="27"/>
      <c r="H288" s="1"/>
      <c r="I288" s="1"/>
      <c r="J288" s="1"/>
      <c r="K288" s="1"/>
      <c r="L288" s="1"/>
    </row>
    <row r="289" spans="1:12" x14ac:dyDescent="0.25">
      <c r="A289" s="1"/>
      <c r="B289" s="20" t="s">
        <v>27</v>
      </c>
      <c r="C289" s="28">
        <v>32</v>
      </c>
      <c r="D289" s="40" t="s">
        <v>849</v>
      </c>
      <c r="E289" s="25">
        <v>14.9</v>
      </c>
      <c r="F289" s="26"/>
      <c r="G289" s="27"/>
      <c r="H289" s="1"/>
      <c r="I289" s="1"/>
      <c r="J289" s="1"/>
      <c r="K289" s="1"/>
      <c r="L289" s="1"/>
    </row>
    <row r="290" spans="1:12" x14ac:dyDescent="0.25">
      <c r="A290" s="1"/>
      <c r="B290" s="20" t="s">
        <v>33</v>
      </c>
      <c r="C290" s="28">
        <v>40</v>
      </c>
      <c r="D290" s="40" t="s">
        <v>851</v>
      </c>
      <c r="E290" s="25">
        <v>15.9</v>
      </c>
      <c r="F290" s="26"/>
      <c r="G290" s="27"/>
      <c r="H290" s="1"/>
      <c r="I290" s="1"/>
      <c r="J290" s="1"/>
      <c r="K290" s="1"/>
      <c r="L290" s="1"/>
    </row>
    <row r="291" spans="1:12" x14ac:dyDescent="0.25">
      <c r="A291" s="1"/>
      <c r="B291" s="20" t="s">
        <v>38</v>
      </c>
      <c r="C291" s="28">
        <v>50</v>
      </c>
      <c r="D291" s="40" t="s">
        <v>852</v>
      </c>
      <c r="E291" s="25">
        <v>23.8</v>
      </c>
      <c r="F291" s="26"/>
      <c r="G291" s="27"/>
      <c r="H291" s="1"/>
      <c r="I291" s="1"/>
      <c r="J291" s="1"/>
      <c r="K291" s="1"/>
      <c r="L291" s="1"/>
    </row>
    <row r="292" spans="1:12" x14ac:dyDescent="0.25">
      <c r="A292" s="1"/>
      <c r="B292" s="34"/>
      <c r="C292" s="34"/>
      <c r="D292" s="35"/>
      <c r="E292" s="36"/>
      <c r="F292" s="17"/>
      <c r="G292" s="19"/>
      <c r="H292" s="1"/>
      <c r="I292" s="1"/>
      <c r="J292" s="1"/>
      <c r="K292" s="1"/>
      <c r="L292" s="1"/>
    </row>
    <row r="293" spans="1:12" x14ac:dyDescent="0.25">
      <c r="A293" s="1"/>
      <c r="B293" s="37" t="s">
        <v>854</v>
      </c>
      <c r="C293" s="38"/>
      <c r="D293" s="39"/>
      <c r="E293" s="36"/>
      <c r="F293" s="17"/>
      <c r="G293" s="19"/>
      <c r="H293" s="1"/>
      <c r="I293" s="1"/>
      <c r="J293" s="1"/>
      <c r="K293" s="1"/>
      <c r="L293" s="1"/>
    </row>
    <row r="294" spans="1:12" x14ac:dyDescent="0.25">
      <c r="A294" s="1"/>
      <c r="B294" s="21" t="s">
        <v>10</v>
      </c>
      <c r="C294" s="48">
        <v>15</v>
      </c>
      <c r="D294" s="49" t="s">
        <v>856</v>
      </c>
      <c r="E294" s="25">
        <v>12.9</v>
      </c>
      <c r="F294" s="26"/>
      <c r="G294" s="63"/>
      <c r="H294" s="1"/>
      <c r="I294" s="1"/>
      <c r="J294" s="1"/>
      <c r="K294" s="1"/>
      <c r="L294" s="1"/>
    </row>
    <row r="295" spans="1:12" x14ac:dyDescent="0.25">
      <c r="A295" s="1"/>
      <c r="B295" s="20" t="s">
        <v>16</v>
      </c>
      <c r="C295" s="28">
        <v>20</v>
      </c>
      <c r="D295" s="40" t="s">
        <v>858</v>
      </c>
      <c r="E295" s="25">
        <v>13.9</v>
      </c>
      <c r="F295" s="26"/>
      <c r="G295" s="63"/>
      <c r="H295" s="1"/>
      <c r="I295" s="1"/>
      <c r="J295" s="1"/>
      <c r="K295" s="1"/>
      <c r="L295" s="1"/>
    </row>
    <row r="296" spans="1:12" x14ac:dyDescent="0.25">
      <c r="A296" s="1"/>
      <c r="B296" s="20" t="s">
        <v>21</v>
      </c>
      <c r="C296" s="28">
        <v>25</v>
      </c>
      <c r="D296" s="40" t="s">
        <v>859</v>
      </c>
      <c r="E296" s="25">
        <v>16.899999999999999</v>
      </c>
      <c r="F296" s="26"/>
      <c r="G296" s="63"/>
      <c r="H296" s="1"/>
      <c r="I296" s="1"/>
      <c r="J296" s="1"/>
      <c r="K296" s="1"/>
      <c r="L296" s="1"/>
    </row>
    <row r="297" spans="1:12" x14ac:dyDescent="0.25">
      <c r="A297" s="1"/>
      <c r="B297" s="20" t="s">
        <v>27</v>
      </c>
      <c r="C297" s="28">
        <v>32</v>
      </c>
      <c r="D297" s="40" t="s">
        <v>860</v>
      </c>
      <c r="E297" s="25">
        <v>18.899999999999999</v>
      </c>
      <c r="F297" s="26"/>
      <c r="G297" s="63"/>
      <c r="H297" s="1"/>
      <c r="I297" s="1"/>
      <c r="J297" s="1"/>
      <c r="K297" s="1"/>
      <c r="L297" s="1"/>
    </row>
    <row r="298" spans="1:12" x14ac:dyDescent="0.25">
      <c r="A298" s="1"/>
      <c r="B298" s="20" t="s">
        <v>33</v>
      </c>
      <c r="C298" s="28">
        <v>40</v>
      </c>
      <c r="D298" s="40" t="s">
        <v>862</v>
      </c>
      <c r="E298" s="25">
        <v>23.8</v>
      </c>
      <c r="F298" s="26"/>
      <c r="G298" s="63"/>
      <c r="H298" s="1"/>
      <c r="I298" s="1"/>
      <c r="J298" s="1"/>
      <c r="K298" s="1"/>
      <c r="L298" s="1"/>
    </row>
    <row r="299" spans="1:12" x14ac:dyDescent="0.25">
      <c r="A299" s="1"/>
      <c r="B299" s="20" t="s">
        <v>38</v>
      </c>
      <c r="C299" s="28">
        <v>50</v>
      </c>
      <c r="D299" s="40" t="s">
        <v>864</v>
      </c>
      <c r="E299" s="25">
        <v>26.8</v>
      </c>
      <c r="F299" s="26"/>
      <c r="G299" s="63"/>
      <c r="H299" s="1"/>
      <c r="I299" s="1"/>
      <c r="J299" s="1"/>
      <c r="K299" s="1"/>
      <c r="L299" s="1"/>
    </row>
    <row r="300" spans="1:12" x14ac:dyDescent="0.25">
      <c r="A300" s="1"/>
      <c r="B300" s="34"/>
      <c r="C300" s="34"/>
      <c r="D300" s="35"/>
      <c r="E300" s="36"/>
      <c r="F300" s="17"/>
      <c r="G300" s="19"/>
      <c r="H300" s="1"/>
      <c r="I300" s="1"/>
      <c r="J300" s="1"/>
      <c r="K300" s="1"/>
      <c r="L300" s="1"/>
    </row>
    <row r="301" spans="1:12" x14ac:dyDescent="0.25">
      <c r="A301" s="1"/>
      <c r="B301" s="37" t="s">
        <v>865</v>
      </c>
      <c r="C301" s="38"/>
      <c r="D301" s="39"/>
      <c r="E301" s="36"/>
      <c r="F301" s="17"/>
      <c r="G301" s="19"/>
      <c r="H301" s="1"/>
      <c r="I301" s="1"/>
      <c r="J301" s="1"/>
      <c r="K301" s="1"/>
      <c r="L301" s="1"/>
    </row>
    <row r="302" spans="1:12" x14ac:dyDescent="0.25">
      <c r="A302" s="1"/>
      <c r="B302" s="174" t="s">
        <v>867</v>
      </c>
      <c r="C302" s="171"/>
      <c r="D302" s="29" t="s">
        <v>869</v>
      </c>
      <c r="E302" s="25">
        <v>2200</v>
      </c>
      <c r="F302" s="26"/>
      <c r="G302" s="63"/>
      <c r="H302" s="1"/>
      <c r="I302" s="1"/>
      <c r="J302" s="1"/>
      <c r="K302" s="1"/>
      <c r="L302" s="1"/>
    </row>
    <row r="303" spans="1:12" x14ac:dyDescent="0.25">
      <c r="A303" s="1"/>
      <c r="B303" s="174" t="s">
        <v>871</v>
      </c>
      <c r="C303" s="171"/>
      <c r="D303" s="67" t="s">
        <v>873</v>
      </c>
      <c r="E303" s="25">
        <v>1460</v>
      </c>
      <c r="F303" s="26"/>
      <c r="G303" s="63"/>
      <c r="H303" s="1"/>
      <c r="I303" s="1"/>
      <c r="J303" s="1"/>
      <c r="K303" s="1"/>
      <c r="L303" s="1"/>
    </row>
    <row r="304" spans="1:12" x14ac:dyDescent="0.25">
      <c r="A304" s="1"/>
      <c r="B304" s="34"/>
      <c r="C304" s="34"/>
      <c r="D304" s="35"/>
      <c r="E304" s="36"/>
      <c r="F304" s="17"/>
      <c r="G304" s="19"/>
      <c r="H304" s="1"/>
      <c r="I304" s="1"/>
      <c r="J304" s="1"/>
      <c r="K304" s="1"/>
      <c r="L304" s="1"/>
    </row>
    <row r="305" spans="1:12" x14ac:dyDescent="0.25">
      <c r="A305" s="1"/>
      <c r="B305" s="37" t="s">
        <v>874</v>
      </c>
      <c r="C305" s="38"/>
      <c r="D305" s="39"/>
      <c r="E305" s="36"/>
      <c r="F305" s="17"/>
      <c r="G305" s="19"/>
      <c r="H305" s="1"/>
      <c r="I305" s="1"/>
      <c r="J305" s="1"/>
      <c r="K305" s="1"/>
      <c r="L305" s="1"/>
    </row>
    <row r="306" spans="1:12" x14ac:dyDescent="0.25">
      <c r="A306" s="1"/>
      <c r="B306" s="172" t="s">
        <v>875</v>
      </c>
      <c r="C306" s="173"/>
      <c r="D306" s="40" t="s">
        <v>876</v>
      </c>
      <c r="E306" s="25">
        <v>108</v>
      </c>
      <c r="F306" s="26"/>
      <c r="G306" s="27"/>
      <c r="H306" s="1"/>
      <c r="I306" s="1"/>
      <c r="J306" s="1"/>
      <c r="K306" s="1"/>
      <c r="L306" s="1"/>
    </row>
    <row r="307" spans="1:12" x14ac:dyDescent="0.25">
      <c r="A307" s="1"/>
      <c r="B307" s="172" t="s">
        <v>878</v>
      </c>
      <c r="C307" s="173"/>
      <c r="D307" s="40" t="s">
        <v>879</v>
      </c>
      <c r="E307" s="25">
        <v>178</v>
      </c>
      <c r="F307" s="26"/>
      <c r="G307" s="27"/>
      <c r="H307" s="1"/>
      <c r="I307" s="1"/>
      <c r="J307" s="1"/>
      <c r="K307" s="1"/>
      <c r="L307" s="1"/>
    </row>
    <row r="308" spans="1:12" x14ac:dyDescent="0.25">
      <c r="A308" s="1"/>
      <c r="B308" s="172" t="s">
        <v>880</v>
      </c>
      <c r="C308" s="173"/>
      <c r="D308" s="40" t="s">
        <v>881</v>
      </c>
      <c r="E308" s="25">
        <v>296</v>
      </c>
      <c r="F308" s="26"/>
      <c r="G308" s="27"/>
      <c r="H308" s="1"/>
      <c r="I308" s="1"/>
      <c r="J308" s="1"/>
      <c r="K308" s="1"/>
      <c r="L308" s="1"/>
    </row>
    <row r="309" spans="1:12" x14ac:dyDescent="0.25">
      <c r="A309" s="1"/>
      <c r="B309" s="172" t="s">
        <v>884</v>
      </c>
      <c r="C309" s="173"/>
      <c r="D309" s="40" t="s">
        <v>885</v>
      </c>
      <c r="E309" s="25">
        <v>546</v>
      </c>
      <c r="F309" s="26"/>
      <c r="G309" s="27"/>
      <c r="H309" s="1"/>
      <c r="I309" s="1"/>
      <c r="J309" s="1"/>
      <c r="K309" s="1"/>
      <c r="L309" s="1"/>
    </row>
    <row r="310" spans="1:12" x14ac:dyDescent="0.25">
      <c r="A310" s="1"/>
      <c r="B310" s="172" t="s">
        <v>888</v>
      </c>
      <c r="C310" s="173"/>
      <c r="D310" s="40" t="s">
        <v>889</v>
      </c>
      <c r="E310" s="25">
        <v>888</v>
      </c>
      <c r="F310" s="26"/>
      <c r="G310" s="27"/>
      <c r="H310" s="1"/>
      <c r="I310" s="1"/>
      <c r="J310" s="1"/>
      <c r="K310" s="1"/>
      <c r="L310" s="1"/>
    </row>
    <row r="311" spans="1:12" x14ac:dyDescent="0.25">
      <c r="A311" s="1"/>
      <c r="B311" s="34"/>
      <c r="C311" s="34"/>
      <c r="D311" s="35"/>
      <c r="E311" s="36"/>
      <c r="F311" s="17"/>
      <c r="G311" s="19"/>
      <c r="H311" s="1"/>
      <c r="I311" s="1"/>
      <c r="J311" s="1"/>
      <c r="K311" s="1"/>
      <c r="L311" s="1"/>
    </row>
    <row r="312" spans="1:12" x14ac:dyDescent="0.25">
      <c r="A312" s="1"/>
      <c r="B312" s="37" t="s">
        <v>892</v>
      </c>
      <c r="C312" s="38"/>
      <c r="D312" s="39"/>
      <c r="E312" s="36"/>
      <c r="F312" s="17"/>
      <c r="G312" s="19"/>
      <c r="H312" s="1"/>
      <c r="I312" s="1"/>
      <c r="J312" s="1"/>
      <c r="K312" s="1"/>
      <c r="L312" s="1"/>
    </row>
    <row r="313" spans="1:12" x14ac:dyDescent="0.25">
      <c r="A313" s="1"/>
      <c r="B313" s="68" t="s">
        <v>16</v>
      </c>
      <c r="C313" s="48" t="s">
        <v>898</v>
      </c>
      <c r="D313" s="40" t="s">
        <v>899</v>
      </c>
      <c r="E313" s="27">
        <v>1160</v>
      </c>
      <c r="F313" s="26"/>
      <c r="G313" s="63"/>
      <c r="H313" s="1"/>
      <c r="I313" s="1"/>
      <c r="J313" s="1"/>
      <c r="K313" s="1"/>
      <c r="L313" s="1"/>
    </row>
    <row r="314" spans="1:12" x14ac:dyDescent="0.25">
      <c r="A314" s="1"/>
      <c r="B314" s="69" t="s">
        <v>16</v>
      </c>
      <c r="C314" s="28" t="s">
        <v>901</v>
      </c>
      <c r="D314" s="40" t="s">
        <v>903</v>
      </c>
      <c r="E314" s="27">
        <v>1160</v>
      </c>
      <c r="F314" s="26"/>
      <c r="G314" s="63"/>
      <c r="H314" s="1"/>
      <c r="I314" s="1"/>
      <c r="J314" s="1"/>
      <c r="K314" s="1"/>
      <c r="L314" s="1"/>
    </row>
    <row r="315" spans="1:12" x14ac:dyDescent="0.25">
      <c r="A315" s="1"/>
      <c r="B315" s="69" t="s">
        <v>16</v>
      </c>
      <c r="C315" s="28" t="s">
        <v>905</v>
      </c>
      <c r="D315" s="40" t="s">
        <v>906</v>
      </c>
      <c r="E315" s="27">
        <v>1230</v>
      </c>
      <c r="F315" s="26"/>
      <c r="G315" s="63"/>
      <c r="H315" s="1"/>
      <c r="I315" s="1"/>
      <c r="J315" s="1"/>
      <c r="K315" s="1"/>
      <c r="L315" s="1"/>
    </row>
    <row r="316" spans="1:12" x14ac:dyDescent="0.25">
      <c r="A316" s="1"/>
      <c r="B316" s="69" t="s">
        <v>16</v>
      </c>
      <c r="C316" s="28" t="s">
        <v>907</v>
      </c>
      <c r="D316" s="40" t="s">
        <v>908</v>
      </c>
      <c r="E316" s="27">
        <v>1230</v>
      </c>
      <c r="F316" s="26"/>
      <c r="G316" s="63"/>
      <c r="H316" s="1"/>
      <c r="I316" s="1"/>
      <c r="J316" s="1"/>
      <c r="K316" s="1"/>
      <c r="L316" s="1"/>
    </row>
    <row r="317" spans="1:12" x14ac:dyDescent="0.25">
      <c r="A317" s="1"/>
      <c r="B317" s="69" t="s">
        <v>16</v>
      </c>
      <c r="C317" s="28" t="s">
        <v>909</v>
      </c>
      <c r="D317" s="40" t="s">
        <v>910</v>
      </c>
      <c r="E317" s="27">
        <v>1250</v>
      </c>
      <c r="F317" s="26"/>
      <c r="G317" s="63"/>
      <c r="H317" s="1"/>
      <c r="I317" s="1"/>
      <c r="J317" s="1"/>
      <c r="K317" s="1"/>
      <c r="L317" s="1"/>
    </row>
    <row r="318" spans="1:12" x14ac:dyDescent="0.25">
      <c r="A318" s="1"/>
      <c r="B318" s="69" t="s">
        <v>16</v>
      </c>
      <c r="C318" s="28" t="s">
        <v>911</v>
      </c>
      <c r="D318" s="40" t="s">
        <v>912</v>
      </c>
      <c r="E318" s="27">
        <v>1160</v>
      </c>
      <c r="F318" s="26"/>
      <c r="G318" s="63"/>
      <c r="H318" s="1"/>
      <c r="I318" s="1"/>
      <c r="J318" s="1"/>
      <c r="K318" s="1"/>
      <c r="L318" s="1"/>
    </row>
    <row r="319" spans="1:12" x14ac:dyDescent="0.25">
      <c r="A319" s="1"/>
      <c r="B319" s="34"/>
      <c r="C319" s="34"/>
      <c r="D319" s="35"/>
      <c r="E319" s="36"/>
      <c r="F319" s="17"/>
      <c r="G319" s="19"/>
      <c r="H319" s="1"/>
      <c r="I319" s="1"/>
      <c r="J319" s="1"/>
      <c r="K319" s="1"/>
      <c r="L319" s="1"/>
    </row>
    <row r="320" spans="1:12" x14ac:dyDescent="0.25">
      <c r="A320" s="1"/>
      <c r="B320" s="37" t="s">
        <v>914</v>
      </c>
      <c r="C320" s="38"/>
      <c r="D320" s="39"/>
      <c r="E320" s="36"/>
      <c r="F320" s="17"/>
      <c r="G320" s="19"/>
      <c r="H320" s="1"/>
      <c r="I320" s="1"/>
      <c r="J320" s="1"/>
      <c r="K320" s="1"/>
      <c r="L320" s="1"/>
    </row>
    <row r="321" spans="1:12" x14ac:dyDescent="0.25">
      <c r="A321" s="1"/>
      <c r="B321" s="68" t="s">
        <v>16</v>
      </c>
      <c r="C321" s="48" t="s">
        <v>898</v>
      </c>
      <c r="D321" s="40" t="s">
        <v>915</v>
      </c>
      <c r="E321" s="27">
        <v>1160</v>
      </c>
      <c r="F321" s="26"/>
      <c r="G321" s="63"/>
      <c r="H321" s="1"/>
      <c r="I321" s="1"/>
      <c r="J321" s="1"/>
      <c r="K321" s="1"/>
      <c r="L321" s="1"/>
    </row>
    <row r="322" spans="1:12" x14ac:dyDescent="0.25">
      <c r="A322" s="1"/>
      <c r="B322" s="69" t="s">
        <v>16</v>
      </c>
      <c r="C322" s="28" t="s">
        <v>901</v>
      </c>
      <c r="D322" s="40" t="s">
        <v>917</v>
      </c>
      <c r="E322" s="27">
        <v>1160</v>
      </c>
      <c r="F322" s="26"/>
      <c r="G322" s="63"/>
      <c r="H322" s="1"/>
      <c r="I322" s="1"/>
      <c r="J322" s="1"/>
      <c r="K322" s="1"/>
      <c r="L322" s="1"/>
    </row>
    <row r="323" spans="1:12" x14ac:dyDescent="0.25">
      <c r="A323" s="1"/>
      <c r="B323" s="69" t="s">
        <v>16</v>
      </c>
      <c r="C323" s="28" t="s">
        <v>905</v>
      </c>
      <c r="D323" s="40" t="s">
        <v>918</v>
      </c>
      <c r="E323" s="27">
        <v>1160</v>
      </c>
      <c r="F323" s="26"/>
      <c r="G323" s="63"/>
      <c r="H323" s="1"/>
      <c r="I323" s="1"/>
      <c r="J323" s="1"/>
      <c r="K323" s="1"/>
      <c r="L323" s="1"/>
    </row>
    <row r="324" spans="1:12" x14ac:dyDescent="0.25">
      <c r="A324" s="1"/>
      <c r="B324" s="69" t="s">
        <v>16</v>
      </c>
      <c r="C324" s="28" t="s">
        <v>907</v>
      </c>
      <c r="D324" s="40" t="s">
        <v>920</v>
      </c>
      <c r="E324" s="27">
        <v>1160</v>
      </c>
      <c r="F324" s="26"/>
      <c r="G324" s="63"/>
      <c r="H324" s="1"/>
      <c r="I324" s="1"/>
      <c r="J324" s="1"/>
      <c r="K324" s="1"/>
      <c r="L324" s="1"/>
    </row>
    <row r="325" spans="1:12" x14ac:dyDescent="0.25">
      <c r="A325" s="1"/>
      <c r="B325" s="69" t="s">
        <v>16</v>
      </c>
      <c r="C325" s="28" t="s">
        <v>909</v>
      </c>
      <c r="D325" s="40" t="s">
        <v>921</v>
      </c>
      <c r="E325" s="27">
        <v>1160</v>
      </c>
      <c r="F325" s="26"/>
      <c r="G325" s="63"/>
      <c r="H325" s="1"/>
      <c r="I325" s="1"/>
      <c r="J325" s="1"/>
      <c r="K325" s="1"/>
      <c r="L325" s="1"/>
    </row>
    <row r="326" spans="1:12" x14ac:dyDescent="0.25">
      <c r="A326" s="1"/>
      <c r="B326" s="69" t="s">
        <v>16</v>
      </c>
      <c r="C326" s="28" t="s">
        <v>911</v>
      </c>
      <c r="D326" s="40" t="s">
        <v>922</v>
      </c>
      <c r="E326" s="27">
        <v>1160</v>
      </c>
      <c r="F326" s="26"/>
      <c r="G326" s="63"/>
      <c r="H326" s="1"/>
      <c r="I326" s="1"/>
      <c r="J326" s="1"/>
      <c r="K326" s="1"/>
      <c r="L326" s="1"/>
    </row>
    <row r="327" spans="1:12" x14ac:dyDescent="0.25">
      <c r="A327" s="1"/>
      <c r="B327" s="34"/>
      <c r="C327" s="34"/>
      <c r="D327" s="35"/>
      <c r="E327" s="36"/>
      <c r="F327" s="17"/>
      <c r="G327" s="19"/>
      <c r="H327" s="1"/>
      <c r="I327" s="1"/>
      <c r="J327" s="1"/>
      <c r="K327" s="1"/>
      <c r="L327" s="1"/>
    </row>
    <row r="328" spans="1:12" x14ac:dyDescent="0.25">
      <c r="A328" s="1"/>
      <c r="B328" s="37" t="s">
        <v>923</v>
      </c>
      <c r="C328" s="38"/>
      <c r="D328" s="39"/>
      <c r="E328" s="36"/>
      <c r="F328" s="17"/>
      <c r="G328" s="19"/>
      <c r="H328" s="1"/>
      <c r="I328" s="1"/>
      <c r="J328" s="1"/>
      <c r="K328" s="1"/>
      <c r="L328" s="1"/>
    </row>
    <row r="329" spans="1:12" x14ac:dyDescent="0.25">
      <c r="A329" s="1"/>
      <c r="B329" s="68" t="s">
        <v>16</v>
      </c>
      <c r="C329" s="48" t="s">
        <v>898</v>
      </c>
      <c r="D329" s="40" t="s">
        <v>924</v>
      </c>
      <c r="E329" s="27">
        <v>1160</v>
      </c>
      <c r="F329" s="26"/>
      <c r="G329" s="63"/>
      <c r="H329" s="1"/>
      <c r="I329" s="1"/>
      <c r="J329" s="1"/>
      <c r="K329" s="1"/>
      <c r="L329" s="1"/>
    </row>
    <row r="330" spans="1:12" x14ac:dyDescent="0.25">
      <c r="A330" s="1"/>
      <c r="B330" s="69" t="s">
        <v>16</v>
      </c>
      <c r="C330" s="28" t="s">
        <v>901</v>
      </c>
      <c r="D330" s="40" t="s">
        <v>926</v>
      </c>
      <c r="E330" s="27">
        <v>1160</v>
      </c>
      <c r="F330" s="26"/>
      <c r="G330" s="63"/>
      <c r="H330" s="1"/>
      <c r="I330" s="1"/>
      <c r="J330" s="1"/>
      <c r="K330" s="1"/>
      <c r="L330" s="1"/>
    </row>
    <row r="331" spans="1:12" x14ac:dyDescent="0.25">
      <c r="A331" s="1"/>
      <c r="B331" s="69" t="s">
        <v>16</v>
      </c>
      <c r="C331" s="28" t="s">
        <v>905</v>
      </c>
      <c r="D331" s="40" t="s">
        <v>927</v>
      </c>
      <c r="E331" s="27">
        <v>1160</v>
      </c>
      <c r="F331" s="26"/>
      <c r="G331" s="63"/>
      <c r="H331" s="1"/>
      <c r="I331" s="1"/>
      <c r="J331" s="1"/>
      <c r="K331" s="1"/>
      <c r="L331" s="1"/>
    </row>
    <row r="332" spans="1:12" x14ac:dyDescent="0.25">
      <c r="A332" s="1"/>
      <c r="B332" s="69" t="s">
        <v>16</v>
      </c>
      <c r="C332" s="28" t="s">
        <v>907</v>
      </c>
      <c r="D332" s="40" t="s">
        <v>928</v>
      </c>
      <c r="E332" s="27">
        <v>1160</v>
      </c>
      <c r="F332" s="26"/>
      <c r="G332" s="63"/>
      <c r="H332" s="1"/>
      <c r="I332" s="1"/>
      <c r="J332" s="1"/>
      <c r="K332" s="1"/>
      <c r="L332" s="1"/>
    </row>
    <row r="333" spans="1:12" x14ac:dyDescent="0.25">
      <c r="A333" s="1"/>
      <c r="B333" s="69" t="s">
        <v>16</v>
      </c>
      <c r="C333" s="28" t="s">
        <v>909</v>
      </c>
      <c r="D333" s="40" t="s">
        <v>930</v>
      </c>
      <c r="E333" s="27">
        <v>1160</v>
      </c>
      <c r="F333" s="26"/>
      <c r="G333" s="63"/>
      <c r="H333" s="1"/>
      <c r="I333" s="1"/>
      <c r="J333" s="1"/>
      <c r="K333" s="1"/>
      <c r="L333" s="1"/>
    </row>
    <row r="334" spans="1:12" x14ac:dyDescent="0.25">
      <c r="A334" s="1"/>
      <c r="B334" s="69" t="s">
        <v>16</v>
      </c>
      <c r="C334" s="28" t="s">
        <v>911</v>
      </c>
      <c r="D334" s="40" t="s">
        <v>931</v>
      </c>
      <c r="E334" s="27">
        <v>1160</v>
      </c>
      <c r="F334" s="26"/>
      <c r="G334" s="63"/>
      <c r="H334" s="1"/>
      <c r="I334" s="1"/>
      <c r="J334" s="1"/>
      <c r="K334" s="1"/>
      <c r="L334" s="1"/>
    </row>
    <row r="335" spans="1:12" x14ac:dyDescent="0.25">
      <c r="A335" s="1"/>
      <c r="B335" s="34"/>
      <c r="C335" s="34"/>
      <c r="D335" s="35"/>
      <c r="E335" s="36"/>
      <c r="F335" s="17"/>
      <c r="G335" s="19"/>
      <c r="H335" s="1"/>
      <c r="I335" s="1"/>
      <c r="J335" s="1"/>
      <c r="K335" s="1"/>
      <c r="L335" s="1"/>
    </row>
    <row r="336" spans="1:12" x14ac:dyDescent="0.25">
      <c r="A336" s="1"/>
      <c r="B336" s="37" t="s">
        <v>914</v>
      </c>
      <c r="C336" s="38"/>
      <c r="D336" s="39"/>
      <c r="E336" s="36"/>
      <c r="F336" s="17"/>
      <c r="G336" s="19"/>
      <c r="H336" s="1"/>
      <c r="I336" s="1"/>
      <c r="J336" s="1"/>
      <c r="K336" s="1"/>
      <c r="L336" s="1"/>
    </row>
    <row r="337" spans="1:12" x14ac:dyDescent="0.25">
      <c r="A337" s="1"/>
      <c r="B337" s="68" t="s">
        <v>21</v>
      </c>
      <c r="C337" s="48" t="s">
        <v>898</v>
      </c>
      <c r="D337" s="40" t="s">
        <v>935</v>
      </c>
      <c r="E337" s="27">
        <v>1390</v>
      </c>
      <c r="F337" s="26"/>
      <c r="G337" s="63"/>
      <c r="H337" s="1"/>
      <c r="I337" s="1"/>
      <c r="J337" s="1"/>
      <c r="K337" s="1"/>
      <c r="L337" s="1"/>
    </row>
    <row r="338" spans="1:12" x14ac:dyDescent="0.25">
      <c r="A338" s="1"/>
      <c r="B338" s="68" t="s">
        <v>21</v>
      </c>
      <c r="C338" s="28" t="s">
        <v>901</v>
      </c>
      <c r="D338" s="40" t="s">
        <v>937</v>
      </c>
      <c r="E338" s="27">
        <v>1390</v>
      </c>
      <c r="F338" s="26"/>
      <c r="G338" s="63"/>
      <c r="H338" s="1"/>
      <c r="I338" s="1"/>
      <c r="J338" s="1"/>
      <c r="K338" s="1"/>
      <c r="L338" s="1"/>
    </row>
    <row r="339" spans="1:12" x14ac:dyDescent="0.25">
      <c r="A339" s="1"/>
      <c r="B339" s="68" t="s">
        <v>21</v>
      </c>
      <c r="C339" s="28" t="s">
        <v>905</v>
      </c>
      <c r="D339" s="40" t="s">
        <v>939</v>
      </c>
      <c r="E339" s="27">
        <v>1480</v>
      </c>
      <c r="F339" s="26"/>
      <c r="G339" s="63"/>
      <c r="H339" s="1"/>
      <c r="I339" s="1"/>
      <c r="J339" s="1"/>
      <c r="K339" s="1"/>
      <c r="L339" s="1"/>
    </row>
    <row r="340" spans="1:12" x14ac:dyDescent="0.25">
      <c r="A340" s="1"/>
      <c r="B340" s="68" t="s">
        <v>21</v>
      </c>
      <c r="C340" s="28" t="s">
        <v>907</v>
      </c>
      <c r="D340" s="40" t="s">
        <v>941</v>
      </c>
      <c r="E340" s="27">
        <v>1480</v>
      </c>
      <c r="F340" s="26"/>
      <c r="G340" s="63"/>
      <c r="H340" s="1"/>
      <c r="I340" s="1"/>
      <c r="J340" s="1"/>
      <c r="K340" s="1"/>
      <c r="L340" s="1"/>
    </row>
    <row r="341" spans="1:12" x14ac:dyDescent="0.25">
      <c r="A341" s="1"/>
      <c r="B341" s="68" t="s">
        <v>21</v>
      </c>
      <c r="C341" s="28" t="s">
        <v>909</v>
      </c>
      <c r="D341" s="40" t="s">
        <v>943</v>
      </c>
      <c r="E341" s="27">
        <v>1480</v>
      </c>
      <c r="F341" s="26"/>
      <c r="G341" s="63"/>
      <c r="H341" s="1"/>
      <c r="I341" s="1"/>
      <c r="J341" s="1"/>
      <c r="K341" s="1"/>
      <c r="L341" s="1"/>
    </row>
    <row r="342" spans="1:12" x14ac:dyDescent="0.25">
      <c r="A342" s="1"/>
      <c r="B342" s="68" t="s">
        <v>21</v>
      </c>
      <c r="C342" s="28" t="s">
        <v>911</v>
      </c>
      <c r="D342" s="40" t="s">
        <v>945</v>
      </c>
      <c r="E342" s="27">
        <v>1390</v>
      </c>
      <c r="F342" s="26"/>
      <c r="G342" s="63"/>
      <c r="H342" s="1"/>
      <c r="I342" s="1"/>
      <c r="J342" s="1"/>
      <c r="K342" s="1"/>
      <c r="L342" s="1"/>
    </row>
    <row r="343" spans="1:12" x14ac:dyDescent="0.25">
      <c r="A343" s="1"/>
      <c r="B343" s="34"/>
      <c r="C343" s="34"/>
      <c r="D343" s="35"/>
      <c r="E343" s="36"/>
      <c r="F343" s="17"/>
      <c r="G343" s="19"/>
      <c r="H343" s="1"/>
      <c r="I343" s="1"/>
      <c r="J343" s="1"/>
      <c r="K343" s="1"/>
      <c r="L343" s="1"/>
    </row>
    <row r="344" spans="1:12" x14ac:dyDescent="0.25">
      <c r="A344" s="1"/>
      <c r="B344" s="37" t="s">
        <v>947</v>
      </c>
      <c r="C344" s="38"/>
      <c r="D344" s="39"/>
      <c r="E344" s="36"/>
      <c r="F344" s="17"/>
      <c r="G344" s="19"/>
      <c r="H344" s="1"/>
      <c r="I344" s="1"/>
      <c r="J344" s="1"/>
      <c r="K344" s="1"/>
      <c r="L344" s="1"/>
    </row>
    <row r="345" spans="1:12" x14ac:dyDescent="0.25">
      <c r="A345" s="1"/>
      <c r="B345" s="68" t="s">
        <v>21</v>
      </c>
      <c r="C345" s="48" t="s">
        <v>898</v>
      </c>
      <c r="D345" s="40" t="s">
        <v>949</v>
      </c>
      <c r="E345" s="27">
        <v>1380</v>
      </c>
      <c r="F345" s="26"/>
      <c r="G345" s="63"/>
      <c r="H345" s="1"/>
      <c r="I345" s="1"/>
      <c r="J345" s="1"/>
      <c r="K345" s="1"/>
      <c r="L345" s="1"/>
    </row>
    <row r="346" spans="1:12" x14ac:dyDescent="0.25">
      <c r="A346" s="1"/>
      <c r="B346" s="68" t="s">
        <v>21</v>
      </c>
      <c r="C346" s="28" t="s">
        <v>901</v>
      </c>
      <c r="D346" s="40" t="s">
        <v>951</v>
      </c>
      <c r="E346" s="27">
        <v>1380</v>
      </c>
      <c r="F346" s="26"/>
      <c r="G346" s="63"/>
      <c r="H346" s="1"/>
      <c r="I346" s="1"/>
      <c r="J346" s="1"/>
      <c r="K346" s="1"/>
      <c r="L346" s="1"/>
    </row>
    <row r="347" spans="1:12" x14ac:dyDescent="0.25">
      <c r="A347" s="1"/>
      <c r="B347" s="68" t="s">
        <v>21</v>
      </c>
      <c r="C347" s="28" t="s">
        <v>905</v>
      </c>
      <c r="D347" s="40" t="s">
        <v>953</v>
      </c>
      <c r="E347" s="27">
        <v>1460</v>
      </c>
      <c r="F347" s="26"/>
      <c r="G347" s="63"/>
      <c r="H347" s="1"/>
      <c r="I347" s="1"/>
      <c r="J347" s="1"/>
      <c r="K347" s="1"/>
      <c r="L347" s="1"/>
    </row>
    <row r="348" spans="1:12" x14ac:dyDescent="0.25">
      <c r="A348" s="1"/>
      <c r="B348" s="68" t="s">
        <v>21</v>
      </c>
      <c r="C348" s="28" t="s">
        <v>907</v>
      </c>
      <c r="D348" s="40" t="s">
        <v>954</v>
      </c>
      <c r="E348" s="27">
        <v>1460</v>
      </c>
      <c r="F348" s="26"/>
      <c r="G348" s="63"/>
      <c r="H348" s="1"/>
      <c r="I348" s="1"/>
      <c r="J348" s="1"/>
      <c r="K348" s="1"/>
      <c r="L348" s="1"/>
    </row>
    <row r="349" spans="1:12" x14ac:dyDescent="0.25">
      <c r="A349" s="1"/>
      <c r="B349" s="68" t="s">
        <v>21</v>
      </c>
      <c r="C349" s="28" t="s">
        <v>909</v>
      </c>
      <c r="D349" s="40" t="s">
        <v>955</v>
      </c>
      <c r="E349" s="27">
        <v>1490</v>
      </c>
      <c r="F349" s="26"/>
      <c r="G349" s="63"/>
      <c r="H349" s="1"/>
      <c r="I349" s="1"/>
      <c r="J349" s="1"/>
      <c r="K349" s="1"/>
      <c r="L349" s="1"/>
    </row>
    <row r="350" spans="1:12" x14ac:dyDescent="0.25">
      <c r="A350" s="1"/>
      <c r="B350" s="68" t="s">
        <v>21</v>
      </c>
      <c r="C350" s="28" t="s">
        <v>911</v>
      </c>
      <c r="D350" s="40" t="s">
        <v>956</v>
      </c>
      <c r="E350" s="27">
        <v>1380</v>
      </c>
      <c r="F350" s="26"/>
      <c r="G350" s="63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17"/>
      <c r="E351" s="19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17"/>
      <c r="E352" s="19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17"/>
      <c r="E353" s="19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17"/>
      <c r="E354" s="19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17"/>
      <c r="E355" s="19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17"/>
      <c r="E356" s="19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17"/>
      <c r="E357" s="19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17"/>
      <c r="E358" s="19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17"/>
      <c r="E359" s="19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17"/>
      <c r="E360" s="19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17"/>
      <c r="E361" s="19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17"/>
      <c r="E362" s="19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17"/>
      <c r="E363" s="19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17"/>
      <c r="E364" s="19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17"/>
      <c r="E365" s="19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17"/>
      <c r="E366" s="19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17"/>
      <c r="E367" s="19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17"/>
      <c r="E368" s="19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7"/>
      <c r="E369" s="19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7"/>
      <c r="E370" s="19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7"/>
      <c r="E371" s="19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7"/>
      <c r="E372" s="19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7"/>
      <c r="E373" s="19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7"/>
      <c r="E374" s="19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7"/>
      <c r="E375" s="19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7"/>
      <c r="E376" s="19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7"/>
      <c r="E377" s="19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7"/>
      <c r="E378" s="19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7"/>
      <c r="E379" s="19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7"/>
      <c r="E380" s="19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7"/>
      <c r="E381" s="19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7"/>
      <c r="E382" s="19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7"/>
      <c r="E383" s="19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7"/>
      <c r="E384" s="19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7"/>
      <c r="E385" s="19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7"/>
      <c r="E386" s="19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7"/>
      <c r="E387" s="19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7"/>
      <c r="E388" s="19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7"/>
      <c r="E389" s="19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7"/>
      <c r="E390" s="19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7"/>
      <c r="E391" s="19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7"/>
      <c r="E392" s="19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7"/>
      <c r="E393" s="19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7"/>
      <c r="E394" s="19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7"/>
      <c r="E395" s="19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7"/>
      <c r="E396" s="19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7"/>
      <c r="E397" s="19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17"/>
      <c r="E398" s="19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17"/>
      <c r="E399" s="19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17"/>
      <c r="E400" s="19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17"/>
      <c r="E401" s="19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17"/>
      <c r="E402" s="19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17"/>
      <c r="E403" s="19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17"/>
      <c r="E404" s="19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17"/>
      <c r="E405" s="19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17"/>
      <c r="E406" s="19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17"/>
      <c r="E407" s="19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17"/>
      <c r="E408" s="19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17"/>
      <c r="E409" s="19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17"/>
      <c r="E410" s="19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17"/>
      <c r="E411" s="19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17"/>
      <c r="E412" s="19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17"/>
      <c r="E413" s="19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17"/>
      <c r="E414" s="19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17"/>
      <c r="E415" s="19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17"/>
      <c r="E416" s="19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17"/>
      <c r="E417" s="19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7"/>
      <c r="E418" s="19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7"/>
      <c r="E419" s="19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7"/>
      <c r="E420" s="19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7"/>
      <c r="E421" s="19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7"/>
      <c r="E422" s="19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7"/>
      <c r="E423" s="19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7"/>
      <c r="E424" s="19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7"/>
      <c r="E425" s="19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7"/>
      <c r="E426" s="19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7"/>
      <c r="E427" s="19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7"/>
      <c r="E428" s="19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7"/>
      <c r="E429" s="19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7"/>
      <c r="E430" s="19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7"/>
      <c r="E431" s="19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7"/>
      <c r="E432" s="19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7"/>
      <c r="E433" s="19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7"/>
      <c r="E434" s="19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7"/>
      <c r="E435" s="19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7"/>
      <c r="E436" s="19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7"/>
      <c r="E437" s="19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7"/>
      <c r="E438" s="19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7"/>
      <c r="E439" s="19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7"/>
      <c r="E440" s="19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7"/>
      <c r="E441" s="19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7"/>
      <c r="E442" s="19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7"/>
      <c r="E443" s="19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7"/>
      <c r="E444" s="19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7"/>
      <c r="E445" s="19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7"/>
      <c r="E446" s="19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17"/>
      <c r="E447" s="19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17"/>
      <c r="E448" s="19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17"/>
      <c r="E449" s="19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17"/>
      <c r="E450" s="19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17"/>
      <c r="E451" s="19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17"/>
      <c r="E452" s="19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17"/>
      <c r="E453" s="19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17"/>
      <c r="E454" s="19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17"/>
      <c r="E455" s="19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17"/>
      <c r="E456" s="19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17"/>
      <c r="E457" s="19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17"/>
      <c r="E458" s="19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17"/>
      <c r="E459" s="19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17"/>
      <c r="E460" s="19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17"/>
      <c r="E461" s="19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17"/>
      <c r="E462" s="19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17"/>
      <c r="E463" s="19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17"/>
      <c r="E464" s="19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17"/>
      <c r="E465" s="19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17"/>
      <c r="E466" s="19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17"/>
      <c r="E467" s="19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17"/>
      <c r="E468" s="19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17"/>
      <c r="E469" s="19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17"/>
      <c r="E470" s="19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17"/>
      <c r="E471" s="19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17"/>
      <c r="E472" s="19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17"/>
      <c r="E473" s="19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17"/>
      <c r="E474" s="19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17"/>
      <c r="E475" s="19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17"/>
      <c r="E476" s="19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17"/>
      <c r="E477" s="19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17"/>
      <c r="E478" s="19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17"/>
      <c r="E479" s="19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17"/>
      <c r="E480" s="19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17"/>
      <c r="E481" s="19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17"/>
      <c r="E482" s="19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17"/>
      <c r="E483" s="19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17"/>
      <c r="E484" s="19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17"/>
      <c r="E485" s="19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17"/>
      <c r="E486" s="19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17"/>
      <c r="E487" s="19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17"/>
      <c r="E488" s="19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17"/>
      <c r="E489" s="19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17"/>
      <c r="E490" s="19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17"/>
      <c r="E491" s="19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17"/>
      <c r="E492" s="19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17"/>
      <c r="E493" s="19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17"/>
      <c r="E494" s="19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17"/>
      <c r="E495" s="19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17"/>
      <c r="E496" s="19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17"/>
      <c r="E497" s="19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17"/>
      <c r="E498" s="19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17"/>
      <c r="E499" s="19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17"/>
      <c r="E500" s="19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17"/>
      <c r="E501" s="19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17"/>
      <c r="E502" s="19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17"/>
      <c r="E503" s="19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17"/>
      <c r="E504" s="19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17"/>
      <c r="E505" s="19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17"/>
      <c r="E506" s="19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17"/>
      <c r="E507" s="19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17"/>
      <c r="E508" s="19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17"/>
      <c r="E509" s="19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17"/>
      <c r="E510" s="19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17"/>
      <c r="E511" s="19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17"/>
      <c r="E512" s="19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17"/>
      <c r="E513" s="19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17"/>
      <c r="E514" s="19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17"/>
      <c r="E515" s="19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17"/>
      <c r="E516" s="19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17"/>
      <c r="E517" s="19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17"/>
      <c r="E518" s="19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17"/>
      <c r="E519" s="19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17"/>
      <c r="E520" s="19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17"/>
      <c r="E521" s="19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17"/>
      <c r="E522" s="19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17"/>
      <c r="E523" s="19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17"/>
      <c r="E524" s="19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17"/>
      <c r="E525" s="19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17"/>
      <c r="E526" s="19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17"/>
      <c r="E527" s="19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17"/>
      <c r="E528" s="19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17"/>
      <c r="E529" s="19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17"/>
      <c r="E530" s="19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17"/>
      <c r="E531" s="19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17"/>
      <c r="E532" s="19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17"/>
      <c r="E533" s="19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17"/>
      <c r="E534" s="19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17"/>
      <c r="E535" s="19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17"/>
      <c r="E536" s="19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17"/>
      <c r="E537" s="19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17"/>
      <c r="E538" s="19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17"/>
      <c r="E539" s="19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17"/>
      <c r="E540" s="19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17"/>
      <c r="E541" s="19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17"/>
      <c r="E542" s="19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17"/>
      <c r="E543" s="19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17"/>
      <c r="E544" s="19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17"/>
      <c r="E545" s="19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17"/>
      <c r="E546" s="19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17"/>
      <c r="E547" s="19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17"/>
      <c r="E548" s="19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17"/>
      <c r="E549" s="19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17"/>
      <c r="E550" s="19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17"/>
      <c r="E551" s="19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17"/>
      <c r="E552" s="19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17"/>
      <c r="E553" s="19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17"/>
      <c r="E554" s="19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17"/>
      <c r="E555" s="19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17"/>
      <c r="E556" s="19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17"/>
      <c r="E557" s="19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17"/>
      <c r="E558" s="19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17"/>
      <c r="E559" s="19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17"/>
      <c r="E560" s="19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17"/>
      <c r="E561" s="19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17"/>
      <c r="E562" s="19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17"/>
      <c r="E563" s="19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17"/>
      <c r="E564" s="19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17"/>
      <c r="E565" s="19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17"/>
      <c r="E566" s="19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17"/>
      <c r="E567" s="19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17"/>
      <c r="E568" s="19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17"/>
      <c r="E569" s="19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17"/>
      <c r="E570" s="19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17"/>
      <c r="E571" s="19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17"/>
      <c r="E572" s="19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17"/>
      <c r="E573" s="19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17"/>
      <c r="E574" s="19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17"/>
      <c r="E575" s="19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17"/>
      <c r="E576" s="19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17"/>
      <c r="E577" s="19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17"/>
      <c r="E578" s="19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17"/>
      <c r="E579" s="19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17"/>
      <c r="E580" s="19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17"/>
      <c r="E581" s="19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17"/>
      <c r="E582" s="19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17"/>
      <c r="E583" s="19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17"/>
      <c r="E584" s="19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17"/>
      <c r="E585" s="19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17"/>
      <c r="E586" s="19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17"/>
      <c r="E587" s="19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17"/>
      <c r="E588" s="19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17"/>
      <c r="E589" s="19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17"/>
      <c r="E590" s="19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17"/>
      <c r="E591" s="19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17"/>
      <c r="E592" s="19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17"/>
      <c r="E593" s="19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17"/>
      <c r="E594" s="19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17"/>
      <c r="E595" s="19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17"/>
      <c r="E596" s="19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17"/>
      <c r="E597" s="19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17"/>
      <c r="E598" s="19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17"/>
      <c r="E599" s="19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17"/>
      <c r="E600" s="19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17"/>
      <c r="E601" s="19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17"/>
      <c r="E602" s="19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17"/>
      <c r="E603" s="19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17"/>
      <c r="E604" s="19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17"/>
      <c r="E605" s="19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17"/>
      <c r="E606" s="19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17"/>
      <c r="E607" s="19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17"/>
      <c r="E608" s="19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17"/>
      <c r="E609" s="19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17"/>
      <c r="E610" s="19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17"/>
      <c r="E611" s="19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17"/>
      <c r="E612" s="19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17"/>
      <c r="E613" s="19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17"/>
      <c r="E614" s="19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17"/>
      <c r="E615" s="19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17"/>
      <c r="E616" s="19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17"/>
      <c r="E617" s="19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17"/>
      <c r="E618" s="19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17"/>
      <c r="E619" s="19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17"/>
      <c r="E620" s="19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17"/>
      <c r="E621" s="19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17"/>
      <c r="E622" s="19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17"/>
      <c r="E623" s="19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17"/>
      <c r="E624" s="19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17"/>
      <c r="E625" s="19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17"/>
      <c r="E626" s="19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17"/>
      <c r="E627" s="19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17"/>
      <c r="E628" s="19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17"/>
      <c r="E629" s="19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17"/>
      <c r="E630" s="19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17"/>
      <c r="E631" s="19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17"/>
      <c r="E632" s="19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17"/>
      <c r="E633" s="19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17"/>
      <c r="E634" s="19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17"/>
      <c r="E635" s="19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17"/>
      <c r="E636" s="19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17"/>
      <c r="E637" s="19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17"/>
      <c r="E638" s="19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17"/>
      <c r="E639" s="19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17"/>
      <c r="E640" s="19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17"/>
      <c r="E641" s="19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17"/>
      <c r="E642" s="19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17"/>
      <c r="E643" s="19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17"/>
      <c r="E644" s="19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17"/>
      <c r="E645" s="19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17"/>
      <c r="E646" s="19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17"/>
      <c r="E647" s="19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17"/>
      <c r="E648" s="19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17"/>
      <c r="E649" s="19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17"/>
      <c r="E650" s="19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17"/>
      <c r="E651" s="19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17"/>
      <c r="E652" s="19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17"/>
      <c r="E653" s="19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17"/>
      <c r="E654" s="19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17"/>
      <c r="E655" s="19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17"/>
      <c r="E656" s="19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17"/>
      <c r="E657" s="19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17"/>
      <c r="E658" s="19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17"/>
      <c r="E659" s="19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17"/>
      <c r="E660" s="19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17"/>
      <c r="E661" s="19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17"/>
      <c r="E662" s="19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17"/>
      <c r="E663" s="19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17"/>
      <c r="E664" s="19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17"/>
      <c r="E665" s="19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17"/>
      <c r="E666" s="19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17"/>
      <c r="E667" s="19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17"/>
      <c r="E668" s="19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17"/>
      <c r="E669" s="19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17"/>
      <c r="E670" s="19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17"/>
      <c r="E671" s="19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17"/>
      <c r="E672" s="19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17"/>
      <c r="E673" s="19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17"/>
      <c r="E674" s="19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17"/>
      <c r="E675" s="19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17"/>
      <c r="E676" s="19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17"/>
      <c r="E677" s="19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17"/>
      <c r="E678" s="19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17"/>
      <c r="E679" s="19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17"/>
      <c r="E680" s="19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17"/>
      <c r="E681" s="19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17"/>
      <c r="E682" s="19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17"/>
      <c r="E683" s="19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17"/>
      <c r="E684" s="19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17"/>
      <c r="E685" s="19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17"/>
      <c r="E686" s="19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17"/>
      <c r="E687" s="19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17"/>
      <c r="E688" s="19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17"/>
      <c r="E689" s="19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17"/>
      <c r="E690" s="19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17"/>
      <c r="E691" s="19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17"/>
      <c r="E692" s="19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17"/>
      <c r="E693" s="19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17"/>
      <c r="E694" s="19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17"/>
      <c r="E695" s="19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17"/>
      <c r="E696" s="19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17"/>
      <c r="E697" s="19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17"/>
      <c r="E698" s="19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17"/>
      <c r="E699" s="19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17"/>
      <c r="E700" s="19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17"/>
      <c r="E701" s="19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17"/>
      <c r="E702" s="19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17"/>
      <c r="E703" s="19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17"/>
      <c r="E704" s="19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17"/>
      <c r="E705" s="19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17"/>
      <c r="E706" s="19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17"/>
      <c r="E707" s="19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17"/>
      <c r="E708" s="19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17"/>
      <c r="E709" s="19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17"/>
      <c r="E710" s="19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17"/>
      <c r="E711" s="19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17"/>
      <c r="E712" s="19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17"/>
      <c r="E713" s="19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17"/>
      <c r="E714" s="19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17"/>
      <c r="E715" s="19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17"/>
      <c r="E716" s="19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17"/>
      <c r="E717" s="19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17"/>
      <c r="E718" s="19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17"/>
      <c r="E719" s="19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17"/>
      <c r="E720" s="19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17"/>
      <c r="E721" s="19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17"/>
      <c r="E722" s="19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17"/>
      <c r="E723" s="19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17"/>
      <c r="E724" s="19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17"/>
      <c r="E725" s="19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17"/>
      <c r="E726" s="19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17"/>
      <c r="E727" s="19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1"/>
      <c r="D728" s="17"/>
      <c r="E728" s="19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1"/>
      <c r="D729" s="17"/>
      <c r="E729" s="19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1"/>
      <c r="D730" s="17"/>
      <c r="E730" s="19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1"/>
      <c r="D731" s="17"/>
      <c r="E731" s="19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1"/>
      <c r="D732" s="17"/>
      <c r="E732" s="19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1"/>
      <c r="D733" s="17"/>
      <c r="E733" s="19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1"/>
      <c r="D734" s="17"/>
      <c r="E734" s="19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1"/>
      <c r="D735" s="17"/>
      <c r="E735" s="19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1"/>
      <c r="D736" s="17"/>
      <c r="E736" s="19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1"/>
      <c r="D737" s="17"/>
      <c r="E737" s="19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1"/>
      <c r="D738" s="17"/>
      <c r="E738" s="19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1"/>
      <c r="D739" s="17"/>
      <c r="E739" s="19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1"/>
      <c r="D740" s="17"/>
      <c r="E740" s="19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1"/>
      <c r="D741" s="17"/>
      <c r="E741" s="19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1"/>
      <c r="D742" s="17"/>
      <c r="E742" s="19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1"/>
      <c r="D743" s="17"/>
      <c r="E743" s="19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1"/>
      <c r="D744" s="17"/>
      <c r="E744" s="19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1"/>
      <c r="D745" s="17"/>
      <c r="E745" s="19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1"/>
      <c r="D746" s="17"/>
      <c r="E746" s="19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17"/>
      <c r="E747" s="19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17"/>
      <c r="E748" s="19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17"/>
      <c r="E749" s="19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17"/>
      <c r="E750" s="19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17"/>
      <c r="E751" s="19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17"/>
      <c r="E752" s="19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17"/>
      <c r="E753" s="19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17"/>
      <c r="E754" s="19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17"/>
      <c r="E755" s="19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17"/>
      <c r="E756" s="19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17"/>
      <c r="E757" s="19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17"/>
      <c r="E758" s="19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17"/>
      <c r="E759" s="19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17"/>
      <c r="E760" s="19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17"/>
      <c r="E761" s="19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17"/>
      <c r="E762" s="19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17"/>
      <c r="E763" s="19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17"/>
      <c r="E764" s="19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17"/>
      <c r="E765" s="19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17"/>
      <c r="E766" s="19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17"/>
      <c r="E767" s="19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17"/>
      <c r="E768" s="19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17"/>
      <c r="E769" s="19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17"/>
      <c r="E770" s="19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17"/>
      <c r="E771" s="19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17"/>
      <c r="E772" s="19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17"/>
      <c r="E773" s="19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17"/>
      <c r="E774" s="19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17"/>
      <c r="E775" s="19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1"/>
      <c r="D776" s="17"/>
      <c r="E776" s="19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1"/>
      <c r="D777" s="17"/>
      <c r="E777" s="19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1"/>
      <c r="D778" s="17"/>
      <c r="E778" s="19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1"/>
      <c r="D779" s="17"/>
      <c r="E779" s="19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1"/>
      <c r="D780" s="17"/>
      <c r="E780" s="19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1"/>
      <c r="D781" s="17"/>
      <c r="E781" s="19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1"/>
      <c r="D782" s="17"/>
      <c r="E782" s="19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1"/>
      <c r="D783" s="17"/>
      <c r="E783" s="19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1"/>
      <c r="D784" s="17"/>
      <c r="E784" s="19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1"/>
      <c r="D785" s="17"/>
      <c r="E785" s="19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1"/>
      <c r="D786" s="17"/>
      <c r="E786" s="19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1"/>
      <c r="D787" s="17"/>
      <c r="E787" s="19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1"/>
      <c r="D788" s="17"/>
      <c r="E788" s="19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1"/>
      <c r="D789" s="17"/>
      <c r="E789" s="19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1"/>
      <c r="D790" s="17"/>
      <c r="E790" s="19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1"/>
      <c r="D791" s="17"/>
      <c r="E791" s="19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1"/>
      <c r="D792" s="17"/>
      <c r="E792" s="19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1"/>
      <c r="D793" s="17"/>
      <c r="E793" s="19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1"/>
      <c r="D794" s="17"/>
      <c r="E794" s="19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1"/>
      <c r="D795" s="17"/>
      <c r="E795" s="19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17"/>
      <c r="E796" s="19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17"/>
      <c r="E797" s="19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17"/>
      <c r="E798" s="19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17"/>
      <c r="E799" s="19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17"/>
      <c r="E800" s="19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17"/>
      <c r="E801" s="19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17"/>
      <c r="E802" s="19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17"/>
      <c r="E803" s="19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17"/>
      <c r="E804" s="19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17"/>
      <c r="E805" s="19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17"/>
      <c r="E806" s="19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17"/>
      <c r="E807" s="19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17"/>
      <c r="E808" s="19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17"/>
      <c r="E809" s="19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17"/>
      <c r="E810" s="19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17"/>
      <c r="E811" s="19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17"/>
      <c r="E812" s="19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17"/>
      <c r="E813" s="19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17"/>
      <c r="E814" s="19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17"/>
      <c r="E815" s="19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17"/>
      <c r="E816" s="19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17"/>
      <c r="E817" s="19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17"/>
      <c r="E818" s="19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17"/>
      <c r="E819" s="19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17"/>
      <c r="E820" s="19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17"/>
      <c r="E821" s="19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17"/>
      <c r="E822" s="19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17"/>
      <c r="E823" s="19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17"/>
      <c r="E824" s="19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1"/>
      <c r="D825" s="17"/>
      <c r="E825" s="19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1"/>
      <c r="D826" s="17"/>
      <c r="E826" s="19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1"/>
      <c r="D827" s="17"/>
      <c r="E827" s="19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17"/>
      <c r="E828" s="19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17"/>
      <c r="E829" s="19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17"/>
      <c r="E830" s="19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17"/>
      <c r="E831" s="19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17"/>
      <c r="E832" s="19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17"/>
      <c r="E833" s="19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17"/>
      <c r="E834" s="19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17"/>
      <c r="E835" s="19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17"/>
      <c r="E836" s="19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17"/>
      <c r="E837" s="19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17"/>
      <c r="E838" s="19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17"/>
      <c r="E839" s="19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17"/>
      <c r="E840" s="19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17"/>
      <c r="E841" s="19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17"/>
      <c r="E842" s="19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17"/>
      <c r="E843" s="19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17"/>
      <c r="E844" s="19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17"/>
      <c r="E845" s="19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17"/>
      <c r="E846" s="19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17"/>
      <c r="E847" s="19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17"/>
      <c r="E848" s="19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17"/>
      <c r="E849" s="19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17"/>
      <c r="E850" s="19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17"/>
      <c r="E851" s="19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17"/>
      <c r="E852" s="19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17"/>
      <c r="E853" s="19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17"/>
      <c r="E854" s="19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17"/>
      <c r="E855" s="19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17"/>
      <c r="E856" s="19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1"/>
      <c r="D857" s="17"/>
      <c r="E857" s="19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1"/>
      <c r="D858" s="17"/>
      <c r="E858" s="19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1"/>
      <c r="D859" s="17"/>
      <c r="E859" s="19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1"/>
      <c r="D860" s="17"/>
      <c r="E860" s="19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1"/>
      <c r="D861" s="17"/>
      <c r="E861" s="19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1"/>
      <c r="D862" s="17"/>
      <c r="E862" s="19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1"/>
      <c r="D863" s="17"/>
      <c r="E863" s="19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1"/>
      <c r="D864" s="17"/>
      <c r="E864" s="19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1"/>
      <c r="D865" s="17"/>
      <c r="E865" s="19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1"/>
      <c r="D866" s="17"/>
      <c r="E866" s="19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1"/>
      <c r="D867" s="17"/>
      <c r="E867" s="19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1"/>
      <c r="D868" s="17"/>
      <c r="E868" s="19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1"/>
      <c r="D869" s="17"/>
      <c r="E869" s="19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1"/>
      <c r="D870" s="17"/>
      <c r="E870" s="19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1"/>
      <c r="D871" s="17"/>
      <c r="E871" s="19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1"/>
      <c r="D872" s="17"/>
      <c r="E872" s="19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1"/>
      <c r="D873" s="17"/>
      <c r="E873" s="19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1"/>
      <c r="D874" s="17"/>
      <c r="E874" s="19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1"/>
      <c r="D875" s="17"/>
      <c r="E875" s="19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17"/>
      <c r="E876" s="19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17"/>
      <c r="E877" s="19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17"/>
      <c r="E878" s="19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17"/>
      <c r="E879" s="19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17"/>
      <c r="E880" s="19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17"/>
      <c r="E881" s="19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17"/>
      <c r="E882" s="19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17"/>
      <c r="E883" s="19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17"/>
      <c r="E884" s="19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17"/>
      <c r="E885" s="19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17"/>
      <c r="E886" s="19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17"/>
      <c r="E887" s="19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17"/>
      <c r="E888" s="19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17"/>
      <c r="E889" s="19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17"/>
      <c r="E890" s="19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17"/>
      <c r="E891" s="19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17"/>
      <c r="E892" s="19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17"/>
      <c r="E893" s="19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17"/>
      <c r="E894" s="19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17"/>
      <c r="E895" s="19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17"/>
      <c r="E896" s="19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17"/>
      <c r="E897" s="19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17"/>
      <c r="E898" s="19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17"/>
      <c r="E899" s="19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17"/>
      <c r="E900" s="19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17"/>
      <c r="E901" s="19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17"/>
      <c r="E902" s="19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17"/>
      <c r="E903" s="19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17"/>
      <c r="E904" s="19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1"/>
      <c r="D905" s="17"/>
      <c r="E905" s="19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1"/>
      <c r="D906" s="17"/>
      <c r="E906" s="19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1"/>
      <c r="D907" s="17"/>
      <c r="E907" s="19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1"/>
      <c r="D908" s="17"/>
      <c r="E908" s="19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1"/>
      <c r="D909" s="17"/>
      <c r="E909" s="19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1"/>
      <c r="D910" s="17"/>
      <c r="E910" s="19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1"/>
      <c r="D911" s="17"/>
      <c r="E911" s="19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1"/>
      <c r="D912" s="17"/>
      <c r="E912" s="19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1"/>
      <c r="D913" s="17"/>
      <c r="E913" s="19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1"/>
      <c r="D914" s="17"/>
      <c r="E914" s="19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1"/>
      <c r="D915" s="17"/>
      <c r="E915" s="19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1"/>
      <c r="D916" s="17"/>
      <c r="E916" s="19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1"/>
      <c r="D917" s="17"/>
      <c r="E917" s="19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1"/>
      <c r="D918" s="17"/>
      <c r="E918" s="19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1"/>
      <c r="D919" s="17"/>
      <c r="E919" s="19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1"/>
      <c r="D920" s="17"/>
      <c r="E920" s="19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1"/>
      <c r="D921" s="17"/>
      <c r="E921" s="19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1"/>
      <c r="D922" s="17"/>
      <c r="E922" s="19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1"/>
      <c r="D923" s="17"/>
      <c r="E923" s="19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1"/>
      <c r="D924" s="17"/>
      <c r="E924" s="19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17"/>
      <c r="E925" s="19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17"/>
      <c r="E926" s="19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17"/>
      <c r="E927" s="19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17"/>
      <c r="E928" s="19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17"/>
      <c r="E929" s="19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17"/>
      <c r="E930" s="19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17"/>
      <c r="E931" s="19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17"/>
      <c r="E932" s="19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17"/>
      <c r="E933" s="19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17"/>
      <c r="E934" s="19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17"/>
      <c r="E935" s="19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17"/>
      <c r="E936" s="19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17"/>
      <c r="E937" s="19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17"/>
      <c r="E938" s="19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17"/>
      <c r="E939" s="19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17"/>
      <c r="E940" s="19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17"/>
      <c r="E941" s="19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17"/>
      <c r="E942" s="19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17"/>
      <c r="E943" s="19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17"/>
      <c r="E944" s="19"/>
      <c r="F944" s="1"/>
      <c r="G944" s="1"/>
      <c r="H944" s="1"/>
      <c r="I944" s="1"/>
      <c r="J944" s="1"/>
      <c r="K944" s="1"/>
      <c r="L944" s="1"/>
    </row>
  </sheetData>
  <mergeCells count="9">
    <mergeCell ref="F1:G1"/>
    <mergeCell ref="B302:C302"/>
    <mergeCell ref="B303:C303"/>
    <mergeCell ref="B307:C307"/>
    <mergeCell ref="B308:C308"/>
    <mergeCell ref="B309:C309"/>
    <mergeCell ref="B310:C310"/>
    <mergeCell ref="D1:E1"/>
    <mergeCell ref="B306:C3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99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I1048576"/>
    </sheetView>
  </sheetViews>
  <sheetFormatPr defaultColWidth="12.6640625" defaultRowHeight="15.75" customHeight="1" x14ac:dyDescent="0.25"/>
  <cols>
    <col min="1" max="1" width="2.88671875" customWidth="1"/>
    <col min="2" max="2" width="12.109375" customWidth="1"/>
    <col min="3" max="3" width="13.44140625" customWidth="1"/>
    <col min="4" max="5" width="15.44140625" customWidth="1"/>
    <col min="6" max="6" width="15.6640625" customWidth="1"/>
    <col min="7" max="7" width="16.21875" customWidth="1"/>
  </cols>
  <sheetData>
    <row r="1" spans="1:22" ht="23.25" customHeight="1" x14ac:dyDescent="0.25">
      <c r="A1" s="1"/>
      <c r="B1" s="1"/>
      <c r="C1" s="1"/>
      <c r="D1" s="170" t="s">
        <v>0</v>
      </c>
      <c r="E1" s="171"/>
      <c r="F1" s="170" t="s">
        <v>1</v>
      </c>
      <c r="G1" s="17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.75" customHeight="1" x14ac:dyDescent="0.25">
      <c r="A2" s="1"/>
      <c r="B2" s="4" t="s">
        <v>3</v>
      </c>
      <c r="C2" s="4" t="s">
        <v>4</v>
      </c>
      <c r="D2" s="5" t="s">
        <v>5</v>
      </c>
      <c r="E2" s="6" t="s">
        <v>6</v>
      </c>
      <c r="F2" s="7" t="s">
        <v>5</v>
      </c>
      <c r="G2" s="8">
        <v>46235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25">
      <c r="A3" s="1"/>
      <c r="B3" s="10" t="s">
        <v>8</v>
      </c>
      <c r="C3" s="1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25">
      <c r="A4" s="1"/>
      <c r="B4" s="21" t="s">
        <v>10</v>
      </c>
      <c r="C4" s="21">
        <v>15</v>
      </c>
      <c r="D4" s="23" t="s">
        <v>12</v>
      </c>
      <c r="E4" s="25">
        <v>276</v>
      </c>
      <c r="F4" s="23" t="s">
        <v>13</v>
      </c>
      <c r="G4" s="25">
        <v>324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 x14ac:dyDescent="0.25">
      <c r="A5" s="1"/>
      <c r="B5" s="21" t="s">
        <v>16</v>
      </c>
      <c r="C5" s="21">
        <v>20</v>
      </c>
      <c r="D5" s="23" t="s">
        <v>18</v>
      </c>
      <c r="E5" s="30">
        <v>363</v>
      </c>
      <c r="F5" s="23" t="s">
        <v>24</v>
      </c>
      <c r="G5" s="25">
        <v>452.25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 x14ac:dyDescent="0.25">
      <c r="A6" s="1"/>
      <c r="B6" s="21">
        <v>1</v>
      </c>
      <c r="C6" s="21">
        <v>25</v>
      </c>
      <c r="D6" s="23" t="s">
        <v>29</v>
      </c>
      <c r="E6" s="30">
        <v>531</v>
      </c>
      <c r="F6" s="23" t="s">
        <v>32</v>
      </c>
      <c r="G6" s="25">
        <v>654.75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 x14ac:dyDescent="0.25">
      <c r="A7" s="1"/>
      <c r="B7" s="21" t="s">
        <v>27</v>
      </c>
      <c r="C7" s="21">
        <v>32</v>
      </c>
      <c r="D7" s="23" t="s">
        <v>37</v>
      </c>
      <c r="E7" s="30">
        <v>732</v>
      </c>
      <c r="F7" s="23" t="s">
        <v>41</v>
      </c>
      <c r="G7" s="25">
        <v>891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 x14ac:dyDescent="0.25">
      <c r="A8" s="1"/>
      <c r="B8" s="21" t="s">
        <v>33</v>
      </c>
      <c r="C8" s="21">
        <v>40</v>
      </c>
      <c r="D8" s="23" t="s">
        <v>46</v>
      </c>
      <c r="E8" s="30">
        <v>894</v>
      </c>
      <c r="F8" s="23" t="s">
        <v>48</v>
      </c>
      <c r="G8" s="25">
        <v>1107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 x14ac:dyDescent="0.25">
      <c r="A9" s="1"/>
      <c r="B9" s="21">
        <v>2</v>
      </c>
      <c r="C9" s="21">
        <v>50</v>
      </c>
      <c r="D9" s="23" t="s">
        <v>50</v>
      </c>
      <c r="E9" s="30">
        <v>1234</v>
      </c>
      <c r="F9" s="23" t="s">
        <v>51</v>
      </c>
      <c r="G9" s="25">
        <v>1586.25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 x14ac:dyDescent="0.25">
      <c r="A10" s="1"/>
      <c r="B10" s="21" t="s">
        <v>54</v>
      </c>
      <c r="C10" s="21">
        <v>65</v>
      </c>
      <c r="D10" s="23" t="s">
        <v>55</v>
      </c>
      <c r="E10" s="30">
        <v>1965</v>
      </c>
      <c r="F10" s="23" t="s">
        <v>56</v>
      </c>
      <c r="G10" s="25">
        <v>2490.75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 x14ac:dyDescent="0.25">
      <c r="A11" s="1"/>
      <c r="B11" s="21">
        <v>3</v>
      </c>
      <c r="C11" s="21">
        <v>80</v>
      </c>
      <c r="D11" s="23" t="s">
        <v>59</v>
      </c>
      <c r="E11" s="30">
        <v>2610</v>
      </c>
      <c r="F11" s="23" t="s">
        <v>61</v>
      </c>
      <c r="G11" s="25">
        <v>3402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 x14ac:dyDescent="0.25">
      <c r="A12" s="1"/>
      <c r="B12" s="21">
        <v>4</v>
      </c>
      <c r="C12" s="21">
        <v>100</v>
      </c>
      <c r="D12" s="23" t="s">
        <v>64</v>
      </c>
      <c r="E12" s="30">
        <v>3810</v>
      </c>
      <c r="F12" s="23" t="s">
        <v>66</v>
      </c>
      <c r="G12" s="25">
        <v>5026.5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 x14ac:dyDescent="0.25">
      <c r="A13" s="1"/>
      <c r="B13" s="21">
        <v>6</v>
      </c>
      <c r="C13" s="21">
        <v>150</v>
      </c>
      <c r="D13" s="23" t="s">
        <v>69</v>
      </c>
      <c r="E13" s="30">
        <v>7242</v>
      </c>
      <c r="F13" s="23" t="s">
        <v>77</v>
      </c>
      <c r="G13" s="25">
        <v>10072.5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2" x14ac:dyDescent="0.25">
      <c r="A14" s="1"/>
      <c r="B14" s="1"/>
      <c r="C14" s="1"/>
      <c r="D14" s="1"/>
      <c r="E14" s="18"/>
      <c r="F14" s="1"/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 x14ac:dyDescent="0.25">
      <c r="A15" s="1"/>
      <c r="B15" s="44" t="s">
        <v>86</v>
      </c>
      <c r="C15" s="44"/>
      <c r="D15" s="1"/>
      <c r="E15" s="18"/>
      <c r="F15" s="1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 x14ac:dyDescent="0.25">
      <c r="A16" s="1"/>
      <c r="B16" s="21" t="s">
        <v>10</v>
      </c>
      <c r="C16" s="21">
        <v>15</v>
      </c>
      <c r="D16" s="23" t="s">
        <v>94</v>
      </c>
      <c r="E16" s="25">
        <v>552</v>
      </c>
      <c r="F16" s="23" t="s">
        <v>96</v>
      </c>
      <c r="G16" s="25">
        <v>648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 x14ac:dyDescent="0.25">
      <c r="A17" s="1"/>
      <c r="B17" s="21" t="s">
        <v>16</v>
      </c>
      <c r="C17" s="21">
        <v>20</v>
      </c>
      <c r="D17" s="23" t="s">
        <v>101</v>
      </c>
      <c r="E17" s="30">
        <v>726</v>
      </c>
      <c r="F17" s="23" t="s">
        <v>105</v>
      </c>
      <c r="G17" s="25">
        <v>904.5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 x14ac:dyDescent="0.25">
      <c r="A18" s="1"/>
      <c r="B18" s="21">
        <v>1</v>
      </c>
      <c r="C18" s="21">
        <v>25</v>
      </c>
      <c r="D18" s="23" t="s">
        <v>111</v>
      </c>
      <c r="E18" s="30">
        <v>1062</v>
      </c>
      <c r="F18" s="23" t="s">
        <v>113</v>
      </c>
      <c r="G18" s="25">
        <v>1309.5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 x14ac:dyDescent="0.25">
      <c r="A19" s="1"/>
      <c r="B19" s="21" t="s">
        <v>27</v>
      </c>
      <c r="C19" s="21">
        <v>32</v>
      </c>
      <c r="D19" s="23" t="s">
        <v>118</v>
      </c>
      <c r="E19" s="30">
        <v>1464</v>
      </c>
      <c r="F19" s="23" t="s">
        <v>122</v>
      </c>
      <c r="G19" s="25">
        <v>1782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 x14ac:dyDescent="0.25">
      <c r="A20" s="1"/>
      <c r="B20" s="21" t="s">
        <v>33</v>
      </c>
      <c r="C20" s="21">
        <v>40</v>
      </c>
      <c r="D20" s="23" t="s">
        <v>126</v>
      </c>
      <c r="E20" s="30">
        <v>1788</v>
      </c>
      <c r="F20" s="23" t="s">
        <v>128</v>
      </c>
      <c r="G20" s="25">
        <v>2214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 x14ac:dyDescent="0.25">
      <c r="A21" s="1"/>
      <c r="B21" s="21">
        <v>2</v>
      </c>
      <c r="C21" s="21">
        <v>50</v>
      </c>
      <c r="D21" s="23" t="s">
        <v>134</v>
      </c>
      <c r="E21" s="30">
        <v>2468</v>
      </c>
      <c r="F21" s="23" t="s">
        <v>136</v>
      </c>
      <c r="G21" s="25">
        <v>3172.5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 x14ac:dyDescent="0.25">
      <c r="A22" s="1"/>
      <c r="B22" s="21" t="s">
        <v>54</v>
      </c>
      <c r="C22" s="21">
        <v>65</v>
      </c>
      <c r="D22" s="23" t="s">
        <v>138</v>
      </c>
      <c r="E22" s="30">
        <v>3930</v>
      </c>
      <c r="F22" s="23" t="s">
        <v>140</v>
      </c>
      <c r="G22" s="25">
        <v>4981.5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 x14ac:dyDescent="0.25">
      <c r="A23" s="1"/>
      <c r="B23" s="21">
        <v>3</v>
      </c>
      <c r="C23" s="21">
        <v>80</v>
      </c>
      <c r="D23" s="23" t="s">
        <v>144</v>
      </c>
      <c r="E23" s="30">
        <v>5220</v>
      </c>
      <c r="F23" s="23" t="s">
        <v>146</v>
      </c>
      <c r="G23" s="25">
        <v>6804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 x14ac:dyDescent="0.25">
      <c r="A24" s="1"/>
      <c r="B24" s="21">
        <v>4</v>
      </c>
      <c r="C24" s="21">
        <v>100</v>
      </c>
      <c r="D24" s="23" t="s">
        <v>152</v>
      </c>
      <c r="E24" s="30">
        <v>7620</v>
      </c>
      <c r="F24" s="23" t="s">
        <v>155</v>
      </c>
      <c r="G24" s="25">
        <v>10053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 x14ac:dyDescent="0.25">
      <c r="A25" s="1"/>
      <c r="B25" s="21">
        <v>6</v>
      </c>
      <c r="C25" s="21">
        <v>150</v>
      </c>
      <c r="D25" s="23" t="s">
        <v>158</v>
      </c>
      <c r="E25" s="30">
        <v>14484</v>
      </c>
      <c r="F25" s="23" t="s">
        <v>160</v>
      </c>
      <c r="G25" s="25">
        <v>20145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2" x14ac:dyDescent="0.25">
      <c r="A26" s="1"/>
      <c r="B26" s="1"/>
      <c r="C26" s="1"/>
      <c r="D26" s="1"/>
      <c r="E26" s="18"/>
      <c r="F26" s="1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25">
      <c r="A27" s="1"/>
      <c r="B27" s="44" t="s">
        <v>170</v>
      </c>
      <c r="C27" s="1"/>
      <c r="D27" s="1"/>
      <c r="E27" s="18"/>
      <c r="F27" s="1"/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6" x14ac:dyDescent="0.25">
      <c r="A28" s="1"/>
      <c r="B28" s="21" t="s">
        <v>10</v>
      </c>
      <c r="C28" s="21">
        <v>15</v>
      </c>
      <c r="D28" s="23" t="s">
        <v>181</v>
      </c>
      <c r="E28" s="25">
        <v>207</v>
      </c>
      <c r="F28" s="23" t="s">
        <v>189</v>
      </c>
      <c r="G28" s="27">
        <v>263.25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 x14ac:dyDescent="0.25">
      <c r="A29" s="1"/>
      <c r="B29" s="21" t="s">
        <v>16</v>
      </c>
      <c r="C29" s="21">
        <v>20</v>
      </c>
      <c r="D29" s="23" t="s">
        <v>195</v>
      </c>
      <c r="E29" s="30">
        <v>279</v>
      </c>
      <c r="F29" s="23" t="s">
        <v>198</v>
      </c>
      <c r="G29" s="27">
        <v>344.25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 x14ac:dyDescent="0.25">
      <c r="A30" s="1"/>
      <c r="B30" s="21">
        <v>1</v>
      </c>
      <c r="C30" s="21">
        <v>25</v>
      </c>
      <c r="D30" s="23" t="s">
        <v>203</v>
      </c>
      <c r="E30" s="30">
        <v>397</v>
      </c>
      <c r="F30" s="23" t="s">
        <v>206</v>
      </c>
      <c r="G30" s="27">
        <v>513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 x14ac:dyDescent="0.25">
      <c r="A31" s="1"/>
      <c r="B31" s="21" t="s">
        <v>27</v>
      </c>
      <c r="C31" s="21">
        <v>32</v>
      </c>
      <c r="D31" s="23" t="s">
        <v>214</v>
      </c>
      <c r="E31" s="30">
        <v>549</v>
      </c>
      <c r="F31" s="23" t="s">
        <v>217</v>
      </c>
      <c r="G31" s="27">
        <v>681.75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 x14ac:dyDescent="0.25">
      <c r="A32" s="1"/>
      <c r="B32" s="21" t="s">
        <v>33</v>
      </c>
      <c r="C32" s="21">
        <v>40</v>
      </c>
      <c r="D32" s="23" t="s">
        <v>223</v>
      </c>
      <c r="E32" s="30">
        <v>661</v>
      </c>
      <c r="F32" s="23" t="s">
        <v>225</v>
      </c>
      <c r="G32" s="27">
        <v>843.75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 x14ac:dyDescent="0.25">
      <c r="A33" s="1"/>
      <c r="B33" s="21">
        <v>2</v>
      </c>
      <c r="C33" s="21">
        <v>50</v>
      </c>
      <c r="D33" s="23" t="s">
        <v>231</v>
      </c>
      <c r="E33" s="30">
        <v>877</v>
      </c>
      <c r="F33" s="23" t="s">
        <v>235</v>
      </c>
      <c r="G33" s="27">
        <v>1161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 x14ac:dyDescent="0.25">
      <c r="A34" s="1"/>
      <c r="B34" s="21" t="s">
        <v>54</v>
      </c>
      <c r="C34" s="21">
        <v>65</v>
      </c>
      <c r="D34" s="23" t="s">
        <v>239</v>
      </c>
      <c r="E34" s="30">
        <v>1461</v>
      </c>
      <c r="F34" s="23" t="s">
        <v>242</v>
      </c>
      <c r="G34" s="27">
        <v>1876.5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 x14ac:dyDescent="0.25">
      <c r="A35" s="1"/>
      <c r="B35" s="21">
        <v>3</v>
      </c>
      <c r="C35" s="21">
        <v>80</v>
      </c>
      <c r="D35" s="23" t="s">
        <v>245</v>
      </c>
      <c r="E35" s="30">
        <v>1917</v>
      </c>
      <c r="F35" s="23" t="s">
        <v>247</v>
      </c>
      <c r="G35" s="27">
        <v>2524.5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 x14ac:dyDescent="0.25">
      <c r="A36" s="1"/>
      <c r="B36" s="21">
        <v>4</v>
      </c>
      <c r="C36" s="21">
        <v>100</v>
      </c>
      <c r="D36" s="23" t="s">
        <v>249</v>
      </c>
      <c r="E36" s="30">
        <v>2727</v>
      </c>
      <c r="F36" s="23" t="s">
        <v>252</v>
      </c>
      <c r="G36" s="27">
        <v>3595.5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 x14ac:dyDescent="0.25">
      <c r="A37" s="1"/>
      <c r="B37" s="21">
        <v>6</v>
      </c>
      <c r="C37" s="21">
        <v>150</v>
      </c>
      <c r="D37" s="23" t="s">
        <v>254</v>
      </c>
      <c r="E37" s="30">
        <v>4791</v>
      </c>
      <c r="F37" s="23" t="s">
        <v>255</v>
      </c>
      <c r="G37" s="27">
        <v>6636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3.2" x14ac:dyDescent="0.25">
      <c r="A38" s="1"/>
      <c r="B38" s="1"/>
      <c r="C38" s="1"/>
      <c r="D38" s="1"/>
      <c r="E38" s="18"/>
      <c r="F38" s="1"/>
      <c r="G38" s="1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 x14ac:dyDescent="0.25">
      <c r="A39" s="1"/>
      <c r="B39" s="44" t="s">
        <v>261</v>
      </c>
      <c r="C39" s="1"/>
      <c r="D39" s="1"/>
      <c r="E39" s="18"/>
      <c r="F39" s="1"/>
      <c r="G39" s="1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 x14ac:dyDescent="0.25">
      <c r="A40" s="1"/>
      <c r="B40" s="21" t="s">
        <v>10</v>
      </c>
      <c r="C40" s="21">
        <v>15</v>
      </c>
      <c r="D40" s="23" t="s">
        <v>264</v>
      </c>
      <c r="E40" s="25">
        <v>414</v>
      </c>
      <c r="F40" s="23" t="s">
        <v>268</v>
      </c>
      <c r="G40" s="25">
        <v>526.5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 x14ac:dyDescent="0.25">
      <c r="A41" s="1"/>
      <c r="B41" s="21" t="s">
        <v>16</v>
      </c>
      <c r="C41" s="21">
        <v>20</v>
      </c>
      <c r="D41" s="23" t="s">
        <v>271</v>
      </c>
      <c r="E41" s="30">
        <v>558</v>
      </c>
      <c r="F41" s="23" t="s">
        <v>273</v>
      </c>
      <c r="G41" s="25">
        <v>688.5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 x14ac:dyDescent="0.25">
      <c r="A42" s="1"/>
      <c r="B42" s="21">
        <v>1</v>
      </c>
      <c r="C42" s="21">
        <v>25</v>
      </c>
      <c r="D42" s="23" t="s">
        <v>277</v>
      </c>
      <c r="E42" s="30">
        <v>794</v>
      </c>
      <c r="F42" s="23" t="s">
        <v>279</v>
      </c>
      <c r="G42" s="25">
        <v>1026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 x14ac:dyDescent="0.25">
      <c r="A43" s="1"/>
      <c r="B43" s="21" t="s">
        <v>27</v>
      </c>
      <c r="C43" s="21">
        <v>32</v>
      </c>
      <c r="D43" s="23" t="s">
        <v>282</v>
      </c>
      <c r="E43" s="30">
        <v>1098</v>
      </c>
      <c r="F43" s="23" t="s">
        <v>283</v>
      </c>
      <c r="G43" s="25">
        <v>1363.5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 x14ac:dyDescent="0.25">
      <c r="A44" s="1"/>
      <c r="B44" s="21" t="s">
        <v>33</v>
      </c>
      <c r="C44" s="21">
        <v>40</v>
      </c>
      <c r="D44" s="23" t="s">
        <v>288</v>
      </c>
      <c r="E44" s="30">
        <v>1322</v>
      </c>
      <c r="F44" s="23" t="s">
        <v>292</v>
      </c>
      <c r="G44" s="25">
        <v>1687.5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 x14ac:dyDescent="0.25">
      <c r="A45" s="1"/>
      <c r="B45" s="21">
        <v>2</v>
      </c>
      <c r="C45" s="21">
        <v>50</v>
      </c>
      <c r="D45" s="23" t="s">
        <v>295</v>
      </c>
      <c r="E45" s="30">
        <v>1754</v>
      </c>
      <c r="F45" s="23" t="s">
        <v>298</v>
      </c>
      <c r="G45" s="25">
        <v>2322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 x14ac:dyDescent="0.25">
      <c r="A46" s="1"/>
      <c r="B46" s="21" t="s">
        <v>54</v>
      </c>
      <c r="C46" s="21">
        <v>65</v>
      </c>
      <c r="D46" s="23" t="s">
        <v>301</v>
      </c>
      <c r="E46" s="30">
        <v>2922</v>
      </c>
      <c r="F46" s="23" t="s">
        <v>305</v>
      </c>
      <c r="G46" s="25">
        <v>3753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 x14ac:dyDescent="0.25">
      <c r="A47" s="1"/>
      <c r="B47" s="21">
        <v>3</v>
      </c>
      <c r="C47" s="21">
        <v>80</v>
      </c>
      <c r="D47" s="23" t="s">
        <v>309</v>
      </c>
      <c r="E47" s="30">
        <v>3834</v>
      </c>
      <c r="F47" s="23" t="s">
        <v>312</v>
      </c>
      <c r="G47" s="25">
        <v>5049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 x14ac:dyDescent="0.25">
      <c r="A48" s="1"/>
      <c r="B48" s="21">
        <v>4</v>
      </c>
      <c r="C48" s="21">
        <v>100</v>
      </c>
      <c r="D48" s="23" t="s">
        <v>316</v>
      </c>
      <c r="E48" s="30">
        <v>5454</v>
      </c>
      <c r="F48" s="23" t="s">
        <v>320</v>
      </c>
      <c r="G48" s="25">
        <v>7191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 x14ac:dyDescent="0.25">
      <c r="A49" s="1"/>
      <c r="B49" s="21">
        <v>6</v>
      </c>
      <c r="C49" s="21">
        <v>150</v>
      </c>
      <c r="D49" s="23" t="s">
        <v>323</v>
      </c>
      <c r="E49" s="30">
        <v>9582</v>
      </c>
      <c r="F49" s="23" t="s">
        <v>324</v>
      </c>
      <c r="G49" s="25">
        <v>13272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3.2" x14ac:dyDescent="0.25">
      <c r="A50" s="1"/>
      <c r="B50" s="1"/>
      <c r="C50" s="1"/>
      <c r="D50" s="1"/>
      <c r="E50" s="18"/>
      <c r="F50" s="1"/>
      <c r="G50" s="1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6" x14ac:dyDescent="0.25">
      <c r="A51" s="1"/>
      <c r="B51" s="44" t="s">
        <v>337</v>
      </c>
      <c r="C51" s="1"/>
      <c r="D51" s="1"/>
      <c r="E51" s="18"/>
      <c r="F51" s="1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6" x14ac:dyDescent="0.25">
      <c r="A52" s="1"/>
      <c r="B52" s="21" t="s">
        <v>10</v>
      </c>
      <c r="C52" s="21">
        <v>15</v>
      </c>
      <c r="D52" s="23" t="s">
        <v>346</v>
      </c>
      <c r="E52" s="25">
        <v>282</v>
      </c>
      <c r="F52" s="23" t="s">
        <v>348</v>
      </c>
      <c r="G52" s="25">
        <v>330.75</v>
      </c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 x14ac:dyDescent="0.25">
      <c r="A53" s="1"/>
      <c r="B53" s="21" t="s">
        <v>16</v>
      </c>
      <c r="C53" s="21">
        <v>20</v>
      </c>
      <c r="D53" s="23" t="s">
        <v>351</v>
      </c>
      <c r="E53" s="30">
        <v>372</v>
      </c>
      <c r="F53" s="23" t="s">
        <v>354</v>
      </c>
      <c r="G53" s="25">
        <v>461.25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 x14ac:dyDescent="0.25">
      <c r="A54" s="1"/>
      <c r="B54" s="21">
        <v>1</v>
      </c>
      <c r="C54" s="21">
        <v>25</v>
      </c>
      <c r="D54" s="23" t="s">
        <v>356</v>
      </c>
      <c r="E54" s="30">
        <v>543</v>
      </c>
      <c r="F54" s="23" t="s">
        <v>359</v>
      </c>
      <c r="G54" s="25">
        <v>668.25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 x14ac:dyDescent="0.25">
      <c r="A55" s="1"/>
      <c r="B55" s="21" t="s">
        <v>27</v>
      </c>
      <c r="C55" s="21">
        <v>32</v>
      </c>
      <c r="D55" s="23" t="s">
        <v>362</v>
      </c>
      <c r="E55" s="30">
        <v>744</v>
      </c>
      <c r="F55" s="23" t="s">
        <v>365</v>
      </c>
      <c r="G55" s="25">
        <v>909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 x14ac:dyDescent="0.25">
      <c r="A56" s="1"/>
      <c r="B56" s="21" t="s">
        <v>33</v>
      </c>
      <c r="C56" s="21">
        <v>40</v>
      </c>
      <c r="D56" s="23" t="s">
        <v>369</v>
      </c>
      <c r="E56" s="30">
        <v>906</v>
      </c>
      <c r="F56" s="23" t="s">
        <v>371</v>
      </c>
      <c r="G56" s="25">
        <v>1129.5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 x14ac:dyDescent="0.25">
      <c r="A57" s="1"/>
      <c r="B57" s="21">
        <v>2</v>
      </c>
      <c r="C57" s="21">
        <v>50</v>
      </c>
      <c r="D57" s="23" t="s">
        <v>377</v>
      </c>
      <c r="E57" s="30">
        <v>1250</v>
      </c>
      <c r="F57" s="23" t="s">
        <v>379</v>
      </c>
      <c r="G57" s="25">
        <v>1620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2" x14ac:dyDescent="0.25">
      <c r="A58" s="1"/>
      <c r="B58" s="1"/>
      <c r="C58" s="1"/>
      <c r="D58" s="1"/>
      <c r="E58" s="18"/>
      <c r="F58" s="1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 x14ac:dyDescent="0.25">
      <c r="A59" s="1"/>
      <c r="B59" s="44" t="s">
        <v>383</v>
      </c>
      <c r="C59" s="1"/>
      <c r="D59" s="1"/>
      <c r="E59" s="18"/>
      <c r="F59" s="1"/>
      <c r="G59" s="1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 x14ac:dyDescent="0.25">
      <c r="A60" s="1"/>
      <c r="B60" s="21" t="s">
        <v>10</v>
      </c>
      <c r="C60" s="21">
        <v>15</v>
      </c>
      <c r="D60" s="23" t="s">
        <v>385</v>
      </c>
      <c r="E60" s="25">
        <v>564</v>
      </c>
      <c r="F60" s="23" t="s">
        <v>386</v>
      </c>
      <c r="G60" s="25">
        <v>652.5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 x14ac:dyDescent="0.25">
      <c r="A61" s="1"/>
      <c r="B61" s="21" t="s">
        <v>16</v>
      </c>
      <c r="C61" s="21">
        <v>20</v>
      </c>
      <c r="D61" s="23" t="s">
        <v>427</v>
      </c>
      <c r="E61" s="30">
        <v>744</v>
      </c>
      <c r="F61" s="23" t="s">
        <v>430</v>
      </c>
      <c r="G61" s="25">
        <v>913.5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 x14ac:dyDescent="0.25">
      <c r="A62" s="1"/>
      <c r="B62" s="21">
        <v>1</v>
      </c>
      <c r="C62" s="21">
        <v>25</v>
      </c>
      <c r="D62" s="23" t="s">
        <v>431</v>
      </c>
      <c r="E62" s="30">
        <v>1086</v>
      </c>
      <c r="F62" s="23" t="s">
        <v>433</v>
      </c>
      <c r="G62" s="25">
        <v>1323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 x14ac:dyDescent="0.25">
      <c r="A63" s="1"/>
      <c r="B63" s="21" t="s">
        <v>27</v>
      </c>
      <c r="C63" s="21">
        <v>32</v>
      </c>
      <c r="D63" s="23" t="s">
        <v>435</v>
      </c>
      <c r="E63" s="30">
        <v>1488</v>
      </c>
      <c r="F63" s="23" t="s">
        <v>436</v>
      </c>
      <c r="G63" s="25">
        <v>1800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 x14ac:dyDescent="0.25">
      <c r="A64" s="1"/>
      <c r="B64" s="21" t="s">
        <v>33</v>
      </c>
      <c r="C64" s="21">
        <v>40</v>
      </c>
      <c r="D64" s="23" t="s">
        <v>438</v>
      </c>
      <c r="E64" s="30">
        <v>1812</v>
      </c>
      <c r="F64" s="23" t="s">
        <v>440</v>
      </c>
      <c r="G64" s="25">
        <v>2236.5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 x14ac:dyDescent="0.25">
      <c r="A65" s="1"/>
      <c r="B65" s="21">
        <v>2</v>
      </c>
      <c r="C65" s="21">
        <v>50</v>
      </c>
      <c r="D65" s="23" t="s">
        <v>441</v>
      </c>
      <c r="E65" s="30">
        <v>2500</v>
      </c>
      <c r="F65" s="23" t="s">
        <v>443</v>
      </c>
      <c r="G65" s="25">
        <v>3204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2" x14ac:dyDescent="0.25">
      <c r="A66" s="1"/>
      <c r="B66" s="1"/>
      <c r="C66" s="1"/>
      <c r="D66" s="1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2" x14ac:dyDescent="0.25">
      <c r="A67" s="1"/>
      <c r="B67" s="1"/>
      <c r="C67" s="1"/>
      <c r="D67" s="1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2" x14ac:dyDescent="0.25">
      <c r="A68" s="1"/>
      <c r="B68" s="1"/>
      <c r="C68" s="1"/>
      <c r="D68" s="1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2" x14ac:dyDescent="0.25">
      <c r="A69" s="1"/>
      <c r="B69" s="1"/>
      <c r="C69" s="1"/>
      <c r="D69" s="1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2" x14ac:dyDescent="0.25">
      <c r="A70" s="1"/>
      <c r="B70" s="1"/>
      <c r="C70" s="1"/>
      <c r="D70" s="1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2" x14ac:dyDescent="0.25">
      <c r="A71" s="1"/>
      <c r="B71" s="1"/>
      <c r="C71" s="1"/>
      <c r="D71" s="1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2" x14ac:dyDescent="0.25">
      <c r="A72" s="1"/>
      <c r="B72" s="1"/>
      <c r="C72" s="1"/>
      <c r="D72" s="1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2" x14ac:dyDescent="0.25">
      <c r="A73" s="1"/>
      <c r="B73" s="1"/>
      <c r="C73" s="1"/>
      <c r="D73" s="1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2" x14ac:dyDescent="0.25">
      <c r="A74" s="1"/>
      <c r="B74" s="1"/>
      <c r="C74" s="1"/>
      <c r="D74" s="1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2" x14ac:dyDescent="0.25">
      <c r="A75" s="1"/>
      <c r="B75" s="1"/>
      <c r="C75" s="1"/>
      <c r="D75" s="1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2" x14ac:dyDescent="0.25">
      <c r="A76" s="1"/>
      <c r="B76" s="1"/>
      <c r="C76" s="1"/>
      <c r="D76" s="1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2" x14ac:dyDescent="0.25">
      <c r="A77" s="1"/>
      <c r="B77" s="1"/>
      <c r="C77" s="1"/>
      <c r="D77" s="1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2" x14ac:dyDescent="0.25">
      <c r="A78" s="1"/>
      <c r="B78" s="1"/>
      <c r="C78" s="1"/>
      <c r="D78" s="1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2" x14ac:dyDescent="0.25">
      <c r="A79" s="1"/>
      <c r="B79" s="1"/>
      <c r="C79" s="1"/>
      <c r="D79" s="1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2" x14ac:dyDescent="0.25">
      <c r="A80" s="1"/>
      <c r="B80" s="1"/>
      <c r="C80" s="1"/>
      <c r="D80" s="1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2" x14ac:dyDescent="0.25">
      <c r="A81" s="1"/>
      <c r="B81" s="1"/>
      <c r="C81" s="1"/>
      <c r="D81" s="1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2" x14ac:dyDescent="0.25">
      <c r="A82" s="1"/>
      <c r="B82" s="1"/>
      <c r="C82" s="1"/>
      <c r="D82" s="1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2" x14ac:dyDescent="0.25">
      <c r="A83" s="1"/>
      <c r="B83" s="1"/>
      <c r="C83" s="1"/>
      <c r="D83" s="1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2" x14ac:dyDescent="0.25">
      <c r="A84" s="1"/>
      <c r="B84" s="1"/>
      <c r="C84" s="1"/>
      <c r="D84" s="1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2" x14ac:dyDescent="0.25">
      <c r="A85" s="1"/>
      <c r="B85" s="1"/>
      <c r="C85" s="1"/>
      <c r="D85" s="1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2" x14ac:dyDescent="0.25">
      <c r="A86" s="1"/>
      <c r="B86" s="1"/>
      <c r="C86" s="1"/>
      <c r="D86" s="1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2" x14ac:dyDescent="0.25">
      <c r="A87" s="1"/>
      <c r="B87" s="1"/>
      <c r="C87" s="1"/>
      <c r="D87" s="1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2" x14ac:dyDescent="0.25">
      <c r="A88" s="1"/>
      <c r="B88" s="1"/>
      <c r="C88" s="1"/>
      <c r="D88" s="1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2" x14ac:dyDescent="0.25">
      <c r="A89" s="1"/>
      <c r="B89" s="1"/>
      <c r="C89" s="1"/>
      <c r="D89" s="1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2" x14ac:dyDescent="0.25">
      <c r="A90" s="1"/>
      <c r="B90" s="1"/>
      <c r="C90" s="1"/>
      <c r="D90" s="1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2" x14ac:dyDescent="0.25">
      <c r="A91" s="1"/>
      <c r="B91" s="1"/>
      <c r="C91" s="1"/>
      <c r="D91" s="1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2" x14ac:dyDescent="0.25">
      <c r="A92" s="1"/>
      <c r="B92" s="1"/>
      <c r="C92" s="1"/>
      <c r="D92" s="1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2" x14ac:dyDescent="0.25">
      <c r="A93" s="1"/>
      <c r="B93" s="1"/>
      <c r="C93" s="1"/>
      <c r="D93" s="1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2" x14ac:dyDescent="0.25">
      <c r="A94" s="1"/>
      <c r="B94" s="1"/>
      <c r="C94" s="1"/>
      <c r="D94" s="1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2" x14ac:dyDescent="0.25">
      <c r="A95" s="1"/>
      <c r="B95" s="1"/>
      <c r="C95" s="1"/>
      <c r="D95" s="1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2" x14ac:dyDescent="0.25">
      <c r="A96" s="1"/>
      <c r="B96" s="1"/>
      <c r="C96" s="1"/>
      <c r="D96" s="1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2" x14ac:dyDescent="0.25">
      <c r="A97" s="1"/>
      <c r="B97" s="1"/>
      <c r="C97" s="1"/>
      <c r="D97" s="1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2" x14ac:dyDescent="0.25">
      <c r="A98" s="1"/>
      <c r="B98" s="1"/>
      <c r="C98" s="1"/>
      <c r="D98" s="1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2" x14ac:dyDescent="0.25">
      <c r="A99" s="1"/>
      <c r="B99" s="1"/>
      <c r="C99" s="1"/>
      <c r="D99" s="1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2" x14ac:dyDescent="0.25">
      <c r="A100" s="1"/>
      <c r="B100" s="1"/>
      <c r="C100" s="1"/>
      <c r="D100" s="1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3.2" x14ac:dyDescent="0.25">
      <c r="A101" s="1"/>
      <c r="B101" s="1"/>
      <c r="C101" s="1"/>
      <c r="D101" s="1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3.2" x14ac:dyDescent="0.25">
      <c r="A102" s="1"/>
      <c r="B102" s="1"/>
      <c r="C102" s="1"/>
      <c r="D102" s="1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3.2" x14ac:dyDescent="0.25">
      <c r="A103" s="1"/>
      <c r="B103" s="1"/>
      <c r="C103" s="1"/>
      <c r="D103" s="1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3.2" x14ac:dyDescent="0.25">
      <c r="A104" s="1"/>
      <c r="B104" s="1"/>
      <c r="C104" s="1"/>
      <c r="D104" s="1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3.2" x14ac:dyDescent="0.25">
      <c r="A105" s="1"/>
      <c r="B105" s="1"/>
      <c r="C105" s="1"/>
      <c r="D105" s="1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3.2" x14ac:dyDescent="0.25">
      <c r="A106" s="1"/>
      <c r="B106" s="1"/>
      <c r="C106" s="1"/>
      <c r="D106" s="1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3.2" x14ac:dyDescent="0.25">
      <c r="A107" s="1"/>
      <c r="B107" s="1"/>
      <c r="C107" s="1"/>
      <c r="D107" s="1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3.2" x14ac:dyDescent="0.25">
      <c r="A108" s="1"/>
      <c r="B108" s="1"/>
      <c r="C108" s="1"/>
      <c r="D108" s="1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3.2" x14ac:dyDescent="0.25">
      <c r="A109" s="1"/>
      <c r="B109" s="1"/>
      <c r="C109" s="1"/>
      <c r="D109" s="1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3.2" x14ac:dyDescent="0.25">
      <c r="A110" s="1"/>
      <c r="B110" s="1"/>
      <c r="C110" s="1"/>
      <c r="D110" s="1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3.2" x14ac:dyDescent="0.25">
      <c r="A111" s="1"/>
      <c r="B111" s="1"/>
      <c r="C111" s="1"/>
      <c r="D111" s="1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3.2" x14ac:dyDescent="0.25">
      <c r="A112" s="1"/>
      <c r="B112" s="1"/>
      <c r="C112" s="1"/>
      <c r="D112" s="1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3.2" x14ac:dyDescent="0.25">
      <c r="A113" s="1"/>
      <c r="B113" s="1"/>
      <c r="C113" s="1"/>
      <c r="D113" s="1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3.2" x14ac:dyDescent="0.25">
      <c r="A114" s="1"/>
      <c r="B114" s="1"/>
      <c r="C114" s="1"/>
      <c r="D114" s="1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3.2" x14ac:dyDescent="0.25">
      <c r="A115" s="1"/>
      <c r="B115" s="1"/>
      <c r="C115" s="1"/>
      <c r="D115" s="1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3.2" x14ac:dyDescent="0.25">
      <c r="A116" s="1"/>
      <c r="B116" s="1"/>
      <c r="C116" s="1"/>
      <c r="D116" s="1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3.2" x14ac:dyDescent="0.25">
      <c r="A117" s="1"/>
      <c r="B117" s="1"/>
      <c r="C117" s="1"/>
      <c r="D117" s="1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3.2" x14ac:dyDescent="0.25">
      <c r="A118" s="1"/>
      <c r="B118" s="1"/>
      <c r="C118" s="1"/>
      <c r="D118" s="1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3.2" x14ac:dyDescent="0.25">
      <c r="A119" s="1"/>
      <c r="B119" s="1"/>
      <c r="C119" s="1"/>
      <c r="D119" s="1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3.2" x14ac:dyDescent="0.25">
      <c r="A120" s="1"/>
      <c r="B120" s="1"/>
      <c r="C120" s="1"/>
      <c r="D120" s="1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3.2" x14ac:dyDescent="0.25">
      <c r="A121" s="1"/>
      <c r="B121" s="1"/>
      <c r="C121" s="1"/>
      <c r="D121" s="1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3.2" x14ac:dyDescent="0.25">
      <c r="A122" s="1"/>
      <c r="B122" s="1"/>
      <c r="C122" s="1"/>
      <c r="D122" s="1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3.2" x14ac:dyDescent="0.25">
      <c r="A123" s="1"/>
      <c r="B123" s="1"/>
      <c r="C123" s="1"/>
      <c r="D123" s="1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3.2" x14ac:dyDescent="0.25">
      <c r="A124" s="1"/>
      <c r="B124" s="1"/>
      <c r="C124" s="1"/>
      <c r="D124" s="1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3.2" x14ac:dyDescent="0.25">
      <c r="A125" s="1"/>
      <c r="B125" s="1"/>
      <c r="C125" s="1"/>
      <c r="D125" s="1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3.2" x14ac:dyDescent="0.25">
      <c r="A126" s="1"/>
      <c r="B126" s="1"/>
      <c r="C126" s="1"/>
      <c r="D126" s="1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3.2" x14ac:dyDescent="0.25">
      <c r="A127" s="1"/>
      <c r="B127" s="1"/>
      <c r="C127" s="1"/>
      <c r="D127" s="1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2" x14ac:dyDescent="0.25">
      <c r="A128" s="1"/>
      <c r="B128" s="1"/>
      <c r="C128" s="1"/>
      <c r="D128" s="1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3.2" x14ac:dyDescent="0.25">
      <c r="A129" s="1"/>
      <c r="B129" s="1"/>
      <c r="C129" s="1"/>
      <c r="D129" s="1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3.2" x14ac:dyDescent="0.25">
      <c r="A130" s="1"/>
      <c r="B130" s="1"/>
      <c r="C130" s="1"/>
      <c r="D130" s="1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3.2" x14ac:dyDescent="0.25">
      <c r="A131" s="1"/>
      <c r="B131" s="1"/>
      <c r="C131" s="1"/>
      <c r="D131" s="1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3.2" x14ac:dyDescent="0.25">
      <c r="A132" s="1"/>
      <c r="B132" s="1"/>
      <c r="C132" s="1"/>
      <c r="D132" s="1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3.2" x14ac:dyDescent="0.25">
      <c r="A133" s="1"/>
      <c r="B133" s="1"/>
      <c r="C133" s="1"/>
      <c r="D133" s="1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3.2" x14ac:dyDescent="0.25">
      <c r="A134" s="1"/>
      <c r="B134" s="1"/>
      <c r="C134" s="1"/>
      <c r="D134" s="1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3.2" x14ac:dyDescent="0.25">
      <c r="A135" s="1"/>
      <c r="B135" s="1"/>
      <c r="C135" s="1"/>
      <c r="D135" s="1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3.2" x14ac:dyDescent="0.25">
      <c r="A136" s="1"/>
      <c r="B136" s="1"/>
      <c r="C136" s="1"/>
      <c r="D136" s="1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3.2" x14ac:dyDescent="0.25">
      <c r="A137" s="1"/>
      <c r="B137" s="1"/>
      <c r="C137" s="1"/>
      <c r="D137" s="1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3.2" x14ac:dyDescent="0.25">
      <c r="A138" s="1"/>
      <c r="B138" s="1"/>
      <c r="C138" s="1"/>
      <c r="D138" s="1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3.2" x14ac:dyDescent="0.25">
      <c r="A139" s="1"/>
      <c r="B139" s="1"/>
      <c r="C139" s="1"/>
      <c r="D139" s="1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3.2" x14ac:dyDescent="0.25">
      <c r="A140" s="1"/>
      <c r="B140" s="1"/>
      <c r="C140" s="1"/>
      <c r="D140" s="1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3.2" x14ac:dyDescent="0.25">
      <c r="A141" s="1"/>
      <c r="B141" s="1"/>
      <c r="C141" s="1"/>
      <c r="D141" s="1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3.2" x14ac:dyDescent="0.25">
      <c r="A142" s="1"/>
      <c r="B142" s="1"/>
      <c r="C142" s="1"/>
      <c r="D142" s="1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3.2" x14ac:dyDescent="0.25">
      <c r="A143" s="1"/>
      <c r="B143" s="1"/>
      <c r="C143" s="1"/>
      <c r="D143" s="1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3.2" x14ac:dyDescent="0.25">
      <c r="A144" s="1"/>
      <c r="B144" s="1"/>
      <c r="C144" s="1"/>
      <c r="D144" s="1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3.2" x14ac:dyDescent="0.25">
      <c r="A145" s="1"/>
      <c r="B145" s="1"/>
      <c r="C145" s="1"/>
      <c r="D145" s="1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3.2" x14ac:dyDescent="0.25">
      <c r="A146" s="1"/>
      <c r="B146" s="1"/>
      <c r="C146" s="1"/>
      <c r="D146" s="1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3.2" x14ac:dyDescent="0.25">
      <c r="A147" s="1"/>
      <c r="B147" s="1"/>
      <c r="C147" s="1"/>
      <c r="D147" s="1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3.2" x14ac:dyDescent="0.25">
      <c r="A148" s="1"/>
      <c r="B148" s="1"/>
      <c r="C148" s="1"/>
      <c r="D148" s="1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3.2" x14ac:dyDescent="0.25">
      <c r="A149" s="1"/>
      <c r="B149" s="1"/>
      <c r="C149" s="1"/>
      <c r="D149" s="1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3.2" x14ac:dyDescent="0.25">
      <c r="A150" s="1"/>
      <c r="B150" s="1"/>
      <c r="C150" s="1"/>
      <c r="D150" s="1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3.2" x14ac:dyDescent="0.25">
      <c r="A151" s="1"/>
      <c r="B151" s="1"/>
      <c r="C151" s="1"/>
      <c r="D151" s="1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3.2" x14ac:dyDescent="0.25">
      <c r="A152" s="1"/>
      <c r="B152" s="1"/>
      <c r="C152" s="1"/>
      <c r="D152" s="1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3.2" x14ac:dyDescent="0.25">
      <c r="A153" s="1"/>
      <c r="B153" s="1"/>
      <c r="C153" s="1"/>
      <c r="D153" s="1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3.2" x14ac:dyDescent="0.25">
      <c r="A154" s="1"/>
      <c r="B154" s="1"/>
      <c r="C154" s="1"/>
      <c r="D154" s="1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3.2" x14ac:dyDescent="0.25">
      <c r="A155" s="1"/>
      <c r="B155" s="1"/>
      <c r="C155" s="1"/>
      <c r="D155" s="1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3.2" x14ac:dyDescent="0.25">
      <c r="A156" s="1"/>
      <c r="B156" s="1"/>
      <c r="C156" s="1"/>
      <c r="D156" s="1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3.2" x14ac:dyDescent="0.25">
      <c r="A157" s="1"/>
      <c r="B157" s="1"/>
      <c r="C157" s="1"/>
      <c r="D157" s="1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3.2" x14ac:dyDescent="0.25">
      <c r="A158" s="1"/>
      <c r="B158" s="1"/>
      <c r="C158" s="1"/>
      <c r="D158" s="1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3.2" x14ac:dyDescent="0.25">
      <c r="A159" s="1"/>
      <c r="B159" s="1"/>
      <c r="C159" s="1"/>
      <c r="D159" s="1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3.2" x14ac:dyDescent="0.25">
      <c r="A160" s="1"/>
      <c r="B160" s="1"/>
      <c r="C160" s="1"/>
      <c r="D160" s="1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3.2" x14ac:dyDescent="0.25">
      <c r="A161" s="1"/>
      <c r="B161" s="1"/>
      <c r="C161" s="1"/>
      <c r="D161" s="1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3.2" x14ac:dyDescent="0.25">
      <c r="A162" s="1"/>
      <c r="B162" s="1"/>
      <c r="C162" s="1"/>
      <c r="D162" s="1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3.2" x14ac:dyDescent="0.25">
      <c r="A163" s="1"/>
      <c r="B163" s="1"/>
      <c r="C163" s="1"/>
      <c r="D163" s="1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3.2" x14ac:dyDescent="0.25">
      <c r="A164" s="1"/>
      <c r="B164" s="1"/>
      <c r="C164" s="1"/>
      <c r="D164" s="1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3.2" x14ac:dyDescent="0.25">
      <c r="A165" s="1"/>
      <c r="B165" s="1"/>
      <c r="C165" s="1"/>
      <c r="D165" s="1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3.2" x14ac:dyDescent="0.25">
      <c r="A166" s="1"/>
      <c r="B166" s="1"/>
      <c r="C166" s="1"/>
      <c r="D166" s="1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3.2" x14ac:dyDescent="0.25">
      <c r="A167" s="1"/>
      <c r="B167" s="1"/>
      <c r="C167" s="1"/>
      <c r="D167" s="1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3.2" x14ac:dyDescent="0.25">
      <c r="A168" s="1"/>
      <c r="B168" s="1"/>
      <c r="C168" s="1"/>
      <c r="D168" s="1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3.2" x14ac:dyDescent="0.25">
      <c r="A169" s="1"/>
      <c r="B169" s="1"/>
      <c r="C169" s="1"/>
      <c r="D169" s="1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3.2" x14ac:dyDescent="0.25">
      <c r="A170" s="1"/>
      <c r="B170" s="1"/>
      <c r="C170" s="1"/>
      <c r="D170" s="1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3.2" x14ac:dyDescent="0.25">
      <c r="A171" s="1"/>
      <c r="B171" s="1"/>
      <c r="C171" s="1"/>
      <c r="D171" s="1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3.2" x14ac:dyDescent="0.25">
      <c r="A172" s="1"/>
      <c r="B172" s="1"/>
      <c r="C172" s="1"/>
      <c r="D172" s="1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3.2" x14ac:dyDescent="0.25">
      <c r="A173" s="1"/>
      <c r="B173" s="1"/>
      <c r="C173" s="1"/>
      <c r="D173" s="1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3.2" x14ac:dyDescent="0.25">
      <c r="A174" s="1"/>
      <c r="B174" s="1"/>
      <c r="C174" s="1"/>
      <c r="D174" s="1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3.2" x14ac:dyDescent="0.25">
      <c r="A175" s="1"/>
      <c r="B175" s="1"/>
      <c r="C175" s="1"/>
      <c r="D175" s="1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3.2" x14ac:dyDescent="0.25">
      <c r="A176" s="1"/>
      <c r="B176" s="1"/>
      <c r="C176" s="1"/>
      <c r="D176" s="1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3.2" x14ac:dyDescent="0.25">
      <c r="A177" s="1"/>
      <c r="B177" s="1"/>
      <c r="C177" s="1"/>
      <c r="D177" s="1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3.2" x14ac:dyDescent="0.25">
      <c r="A178" s="1"/>
      <c r="B178" s="1"/>
      <c r="C178" s="1"/>
      <c r="D178" s="1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3.2" x14ac:dyDescent="0.25">
      <c r="A179" s="1"/>
      <c r="B179" s="1"/>
      <c r="C179" s="1"/>
      <c r="D179" s="1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3.2" x14ac:dyDescent="0.25">
      <c r="A180" s="1"/>
      <c r="B180" s="1"/>
      <c r="C180" s="1"/>
      <c r="D180" s="1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3.2" x14ac:dyDescent="0.25">
      <c r="A181" s="1"/>
      <c r="B181" s="1"/>
      <c r="C181" s="1"/>
      <c r="D181" s="1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3.2" x14ac:dyDescent="0.25">
      <c r="A182" s="1"/>
      <c r="B182" s="1"/>
      <c r="C182" s="1"/>
      <c r="D182" s="1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3.2" x14ac:dyDescent="0.25">
      <c r="A183" s="1"/>
      <c r="B183" s="1"/>
      <c r="C183" s="1"/>
      <c r="D183" s="1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3.2" x14ac:dyDescent="0.25">
      <c r="A184" s="1"/>
      <c r="B184" s="1"/>
      <c r="C184" s="1"/>
      <c r="D184" s="1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3.2" x14ac:dyDescent="0.25">
      <c r="A185" s="1"/>
      <c r="B185" s="1"/>
      <c r="C185" s="1"/>
      <c r="D185" s="1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3.2" x14ac:dyDescent="0.25">
      <c r="A186" s="1"/>
      <c r="B186" s="1"/>
      <c r="C186" s="1"/>
      <c r="D186" s="1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3.2" x14ac:dyDescent="0.25">
      <c r="A187" s="1"/>
      <c r="B187" s="1"/>
      <c r="C187" s="1"/>
      <c r="D187" s="1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3.2" x14ac:dyDescent="0.25">
      <c r="A188" s="1"/>
      <c r="B188" s="1"/>
      <c r="C188" s="1"/>
      <c r="D188" s="1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3.2" x14ac:dyDescent="0.25">
      <c r="A189" s="1"/>
      <c r="B189" s="1"/>
      <c r="C189" s="1"/>
      <c r="D189" s="1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3.2" x14ac:dyDescent="0.25">
      <c r="A190" s="1"/>
      <c r="B190" s="1"/>
      <c r="C190" s="1"/>
      <c r="D190" s="1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3.2" x14ac:dyDescent="0.25">
      <c r="A191" s="1"/>
      <c r="B191" s="1"/>
      <c r="C191" s="1"/>
      <c r="D191" s="1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3.2" x14ac:dyDescent="0.25">
      <c r="A192" s="1"/>
      <c r="B192" s="1"/>
      <c r="C192" s="1"/>
      <c r="D192" s="1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3.2" x14ac:dyDescent="0.25">
      <c r="A193" s="1"/>
      <c r="B193" s="1"/>
      <c r="C193" s="1"/>
      <c r="D193" s="1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3.2" x14ac:dyDescent="0.25">
      <c r="A194" s="1"/>
      <c r="B194" s="1"/>
      <c r="C194" s="1"/>
      <c r="D194" s="1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3.2" x14ac:dyDescent="0.25">
      <c r="A195" s="1"/>
      <c r="B195" s="1"/>
      <c r="C195" s="1"/>
      <c r="D195" s="1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3.2" x14ac:dyDescent="0.25">
      <c r="A196" s="1"/>
      <c r="B196" s="1"/>
      <c r="C196" s="1"/>
      <c r="D196" s="1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3.2" x14ac:dyDescent="0.25">
      <c r="A197" s="1"/>
      <c r="B197" s="1"/>
      <c r="C197" s="1"/>
      <c r="D197" s="1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3.2" x14ac:dyDescent="0.25">
      <c r="A198" s="1"/>
      <c r="B198" s="1"/>
      <c r="C198" s="1"/>
      <c r="D198" s="1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3.2" x14ac:dyDescent="0.25">
      <c r="A199" s="1"/>
      <c r="B199" s="1"/>
      <c r="C199" s="1"/>
      <c r="D199" s="1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3.2" x14ac:dyDescent="0.25">
      <c r="A200" s="1"/>
      <c r="B200" s="1"/>
      <c r="C200" s="1"/>
      <c r="D200" s="1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3.2" x14ac:dyDescent="0.25">
      <c r="A201" s="1"/>
      <c r="B201" s="1"/>
      <c r="C201" s="1"/>
      <c r="D201" s="1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3.2" x14ac:dyDescent="0.25">
      <c r="A202" s="1"/>
      <c r="B202" s="1"/>
      <c r="C202" s="1"/>
      <c r="D202" s="1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3.2" x14ac:dyDescent="0.25">
      <c r="A203" s="1"/>
      <c r="B203" s="1"/>
      <c r="C203" s="1"/>
      <c r="D203" s="1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3.2" x14ac:dyDescent="0.25">
      <c r="A204" s="1"/>
      <c r="B204" s="1"/>
      <c r="C204" s="1"/>
      <c r="D204" s="1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3.2" x14ac:dyDescent="0.25">
      <c r="A205" s="1"/>
      <c r="B205" s="1"/>
      <c r="C205" s="1"/>
      <c r="D205" s="1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3.2" x14ac:dyDescent="0.25">
      <c r="A206" s="1"/>
      <c r="B206" s="1"/>
      <c r="C206" s="1"/>
      <c r="D206" s="1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3.2" x14ac:dyDescent="0.25">
      <c r="A207" s="1"/>
      <c r="B207" s="1"/>
      <c r="C207" s="1"/>
      <c r="D207" s="1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3.2" x14ac:dyDescent="0.25">
      <c r="A208" s="1"/>
      <c r="B208" s="1"/>
      <c r="C208" s="1"/>
      <c r="D208" s="1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3.2" x14ac:dyDescent="0.25">
      <c r="A209" s="1"/>
      <c r="B209" s="1"/>
      <c r="C209" s="1"/>
      <c r="D209" s="1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3.2" x14ac:dyDescent="0.25">
      <c r="A210" s="1"/>
      <c r="B210" s="1"/>
      <c r="C210" s="1"/>
      <c r="D210" s="1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3.2" x14ac:dyDescent="0.25">
      <c r="A211" s="1"/>
      <c r="B211" s="1"/>
      <c r="C211" s="1"/>
      <c r="D211" s="1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3.2" x14ac:dyDescent="0.25">
      <c r="A212" s="1"/>
      <c r="B212" s="1"/>
      <c r="C212" s="1"/>
      <c r="D212" s="1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3.2" x14ac:dyDescent="0.25">
      <c r="A213" s="1"/>
      <c r="B213" s="1"/>
      <c r="C213" s="1"/>
      <c r="D213" s="1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3.2" x14ac:dyDescent="0.25">
      <c r="A214" s="1"/>
      <c r="B214" s="1"/>
      <c r="C214" s="1"/>
      <c r="D214" s="1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3.2" x14ac:dyDescent="0.25">
      <c r="A215" s="1"/>
      <c r="B215" s="1"/>
      <c r="C215" s="1"/>
      <c r="D215" s="1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3.2" x14ac:dyDescent="0.25">
      <c r="A216" s="1"/>
      <c r="B216" s="1"/>
      <c r="C216" s="1"/>
      <c r="D216" s="1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3.2" x14ac:dyDescent="0.25">
      <c r="A217" s="1"/>
      <c r="B217" s="1"/>
      <c r="C217" s="1"/>
      <c r="D217" s="1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3.2" x14ac:dyDescent="0.25">
      <c r="A218" s="1"/>
      <c r="B218" s="1"/>
      <c r="C218" s="1"/>
      <c r="D218" s="1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3.2" x14ac:dyDescent="0.25">
      <c r="A219" s="1"/>
      <c r="B219" s="1"/>
      <c r="C219" s="1"/>
      <c r="D219" s="1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3.2" x14ac:dyDescent="0.25">
      <c r="A220" s="1"/>
      <c r="B220" s="1"/>
      <c r="C220" s="1"/>
      <c r="D220" s="1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3.2" x14ac:dyDescent="0.25">
      <c r="A221" s="1"/>
      <c r="B221" s="1"/>
      <c r="C221" s="1"/>
      <c r="D221" s="1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3.2" x14ac:dyDescent="0.25">
      <c r="A222" s="1"/>
      <c r="B222" s="1"/>
      <c r="C222" s="1"/>
      <c r="D222" s="1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3.2" x14ac:dyDescent="0.25">
      <c r="A223" s="1"/>
      <c r="B223" s="1"/>
      <c r="C223" s="1"/>
      <c r="D223" s="1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3.2" x14ac:dyDescent="0.25">
      <c r="A224" s="1"/>
      <c r="B224" s="1"/>
      <c r="C224" s="1"/>
      <c r="D224" s="1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3.2" x14ac:dyDescent="0.25">
      <c r="A225" s="1"/>
      <c r="B225" s="1"/>
      <c r="C225" s="1"/>
      <c r="D225" s="1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3.2" x14ac:dyDescent="0.25">
      <c r="A226" s="1"/>
      <c r="B226" s="1"/>
      <c r="C226" s="1"/>
      <c r="D226" s="1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3.2" x14ac:dyDescent="0.25">
      <c r="A227" s="1"/>
      <c r="B227" s="1"/>
      <c r="C227" s="1"/>
      <c r="D227" s="1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3.2" x14ac:dyDescent="0.25">
      <c r="A228" s="1"/>
      <c r="B228" s="1"/>
      <c r="C228" s="1"/>
      <c r="D228" s="1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3.2" x14ac:dyDescent="0.25">
      <c r="A229" s="1"/>
      <c r="B229" s="1"/>
      <c r="C229" s="1"/>
      <c r="D229" s="1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3.2" x14ac:dyDescent="0.25">
      <c r="A230" s="1"/>
      <c r="B230" s="1"/>
      <c r="C230" s="1"/>
      <c r="D230" s="1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3.2" x14ac:dyDescent="0.25">
      <c r="A231" s="1"/>
      <c r="B231" s="1"/>
      <c r="C231" s="1"/>
      <c r="D231" s="1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3.2" x14ac:dyDescent="0.25">
      <c r="A232" s="1"/>
      <c r="B232" s="1"/>
      <c r="C232" s="1"/>
      <c r="D232" s="1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3.2" x14ac:dyDescent="0.25">
      <c r="A233" s="1"/>
      <c r="B233" s="1"/>
      <c r="C233" s="1"/>
      <c r="D233" s="1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3.2" x14ac:dyDescent="0.25">
      <c r="A234" s="1"/>
      <c r="B234" s="1"/>
      <c r="C234" s="1"/>
      <c r="D234" s="1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3.2" x14ac:dyDescent="0.25">
      <c r="A235" s="1"/>
      <c r="B235" s="1"/>
      <c r="C235" s="1"/>
      <c r="D235" s="1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3.2" x14ac:dyDescent="0.25">
      <c r="A236" s="1"/>
      <c r="B236" s="1"/>
      <c r="C236" s="1"/>
      <c r="D236" s="1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3.2" x14ac:dyDescent="0.25">
      <c r="A237" s="1"/>
      <c r="B237" s="1"/>
      <c r="C237" s="1"/>
      <c r="D237" s="1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3.2" x14ac:dyDescent="0.25">
      <c r="A238" s="1"/>
      <c r="B238" s="1"/>
      <c r="C238" s="1"/>
      <c r="D238" s="1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3.2" x14ac:dyDescent="0.25">
      <c r="A239" s="1"/>
      <c r="B239" s="1"/>
      <c r="C239" s="1"/>
      <c r="D239" s="1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3.2" x14ac:dyDescent="0.25">
      <c r="A240" s="1"/>
      <c r="B240" s="1"/>
      <c r="C240" s="1"/>
      <c r="D240" s="1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3.2" x14ac:dyDescent="0.25">
      <c r="A241" s="1"/>
      <c r="B241" s="1"/>
      <c r="C241" s="1"/>
      <c r="D241" s="1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3.2" x14ac:dyDescent="0.25">
      <c r="A242" s="1"/>
      <c r="B242" s="1"/>
      <c r="C242" s="1"/>
      <c r="D242" s="1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3.2" x14ac:dyDescent="0.25">
      <c r="A243" s="1"/>
      <c r="B243" s="1"/>
      <c r="C243" s="1"/>
      <c r="D243" s="1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3.2" x14ac:dyDescent="0.25">
      <c r="A244" s="1"/>
      <c r="B244" s="1"/>
      <c r="C244" s="1"/>
      <c r="D244" s="1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3.2" x14ac:dyDescent="0.25">
      <c r="A245" s="1"/>
      <c r="B245" s="1"/>
      <c r="C245" s="1"/>
      <c r="D245" s="1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3.2" x14ac:dyDescent="0.25">
      <c r="A246" s="1"/>
      <c r="B246" s="1"/>
      <c r="C246" s="1"/>
      <c r="D246" s="1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3.2" x14ac:dyDescent="0.25">
      <c r="A247" s="1"/>
      <c r="B247" s="1"/>
      <c r="C247" s="1"/>
      <c r="D247" s="1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3.2" x14ac:dyDescent="0.25">
      <c r="A248" s="1"/>
      <c r="B248" s="1"/>
      <c r="C248" s="1"/>
      <c r="D248" s="1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3.2" x14ac:dyDescent="0.25">
      <c r="A249" s="1"/>
      <c r="B249" s="1"/>
      <c r="C249" s="1"/>
      <c r="D249" s="1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3.2" x14ac:dyDescent="0.25">
      <c r="A250" s="1"/>
      <c r="B250" s="1"/>
      <c r="C250" s="1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3.2" x14ac:dyDescent="0.25">
      <c r="A251" s="1"/>
      <c r="B251" s="1"/>
      <c r="C251" s="1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3.2" x14ac:dyDescent="0.25">
      <c r="A252" s="1"/>
      <c r="B252" s="1"/>
      <c r="C252" s="1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3.2" x14ac:dyDescent="0.25">
      <c r="A253" s="1"/>
      <c r="B253" s="1"/>
      <c r="C253" s="1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3.2" x14ac:dyDescent="0.25">
      <c r="A254" s="1"/>
      <c r="B254" s="1"/>
      <c r="C254" s="1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3.2" x14ac:dyDescent="0.25">
      <c r="A255" s="1"/>
      <c r="B255" s="1"/>
      <c r="C255" s="1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3.2" x14ac:dyDescent="0.25">
      <c r="A256" s="1"/>
      <c r="B256" s="1"/>
      <c r="C256" s="1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3.2" x14ac:dyDescent="0.25">
      <c r="A258" s="1"/>
      <c r="B258" s="1"/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3.2" x14ac:dyDescent="0.25">
      <c r="A259" s="1"/>
      <c r="B259" s="1"/>
      <c r="C259" s="1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3.2" x14ac:dyDescent="0.25">
      <c r="A260" s="1"/>
      <c r="B260" s="1"/>
      <c r="C260" s="1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3.2" x14ac:dyDescent="0.25">
      <c r="A261" s="1"/>
      <c r="B261" s="1"/>
      <c r="C261" s="1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3.2" x14ac:dyDescent="0.25">
      <c r="A262" s="1"/>
      <c r="B262" s="1"/>
      <c r="C262" s="1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3.2" x14ac:dyDescent="0.25">
      <c r="A263" s="1"/>
      <c r="B263" s="1"/>
      <c r="C263" s="1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3.2" x14ac:dyDescent="0.25">
      <c r="A264" s="1"/>
      <c r="B264" s="1"/>
      <c r="C264" s="1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3.2" x14ac:dyDescent="0.25">
      <c r="A265" s="1"/>
      <c r="B265" s="1"/>
      <c r="C265" s="1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3.2" x14ac:dyDescent="0.25">
      <c r="A266" s="1"/>
      <c r="B266" s="1"/>
      <c r="C266" s="1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3.2" x14ac:dyDescent="0.25">
      <c r="A267" s="1"/>
      <c r="B267" s="1"/>
      <c r="C267" s="1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3.2" x14ac:dyDescent="0.25">
      <c r="A268" s="1"/>
      <c r="B268" s="1"/>
      <c r="C268" s="1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3.2" x14ac:dyDescent="0.25">
      <c r="A269" s="1"/>
      <c r="B269" s="1"/>
      <c r="C269" s="1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.2" x14ac:dyDescent="0.25">
      <c r="A270" s="1"/>
      <c r="B270" s="1"/>
      <c r="C270" s="1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3.2" x14ac:dyDescent="0.25">
      <c r="A271" s="1"/>
      <c r="B271" s="1"/>
      <c r="C271" s="1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3.2" x14ac:dyDescent="0.25">
      <c r="A272" s="1"/>
      <c r="B272" s="1"/>
      <c r="C272" s="1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3.2" x14ac:dyDescent="0.25">
      <c r="A273" s="1"/>
      <c r="B273" s="1"/>
      <c r="C273" s="1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3.2" x14ac:dyDescent="0.25">
      <c r="A274" s="1"/>
      <c r="B274" s="1"/>
      <c r="C274" s="1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3.2" x14ac:dyDescent="0.25">
      <c r="A275" s="1"/>
      <c r="B275" s="1"/>
      <c r="C275" s="1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3.2" x14ac:dyDescent="0.25">
      <c r="A276" s="1"/>
      <c r="B276" s="1"/>
      <c r="C276" s="1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3.2" x14ac:dyDescent="0.25">
      <c r="A277" s="1"/>
      <c r="B277" s="1"/>
      <c r="C277" s="1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3.2" x14ac:dyDescent="0.25">
      <c r="A278" s="1"/>
      <c r="B278" s="1"/>
      <c r="C278" s="1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3.2" x14ac:dyDescent="0.25">
      <c r="A279" s="1"/>
      <c r="B279" s="1"/>
      <c r="C279" s="1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3.2" x14ac:dyDescent="0.25">
      <c r="A280" s="1"/>
      <c r="B280" s="1"/>
      <c r="C280" s="1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3.2" x14ac:dyDescent="0.25">
      <c r="A281" s="1"/>
      <c r="B281" s="1"/>
      <c r="C281" s="1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3.2" x14ac:dyDescent="0.25">
      <c r="A282" s="1"/>
      <c r="B282" s="1"/>
      <c r="C282" s="1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3.2" x14ac:dyDescent="0.25">
      <c r="A283" s="1"/>
      <c r="B283" s="1"/>
      <c r="C283" s="1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3.2" x14ac:dyDescent="0.25">
      <c r="A284" s="1"/>
      <c r="B284" s="1"/>
      <c r="C284" s="1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3.2" x14ac:dyDescent="0.25">
      <c r="A285" s="1"/>
      <c r="B285" s="1"/>
      <c r="C285" s="1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3.2" x14ac:dyDescent="0.25">
      <c r="A286" s="1"/>
      <c r="B286" s="1"/>
      <c r="C286" s="1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3.2" x14ac:dyDescent="0.25">
      <c r="A287" s="1"/>
      <c r="B287" s="1"/>
      <c r="C287" s="1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3.2" x14ac:dyDescent="0.25">
      <c r="A288" s="1"/>
      <c r="B288" s="1"/>
      <c r="C288" s="1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3.2" x14ac:dyDescent="0.25">
      <c r="A289" s="1"/>
      <c r="B289" s="1"/>
      <c r="C289" s="1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3.2" x14ac:dyDescent="0.25">
      <c r="A290" s="1"/>
      <c r="B290" s="1"/>
      <c r="C290" s="1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3.2" x14ac:dyDescent="0.25">
      <c r="A291" s="1"/>
      <c r="B291" s="1"/>
      <c r="C291" s="1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3.2" x14ac:dyDescent="0.25">
      <c r="A292" s="1"/>
      <c r="B292" s="1"/>
      <c r="C292" s="1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3.2" x14ac:dyDescent="0.25">
      <c r="A293" s="1"/>
      <c r="B293" s="1"/>
      <c r="C293" s="1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3.2" x14ac:dyDescent="0.25">
      <c r="A294" s="1"/>
      <c r="B294" s="1"/>
      <c r="C294" s="1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3.2" x14ac:dyDescent="0.25">
      <c r="A295" s="1"/>
      <c r="B295" s="1"/>
      <c r="C295" s="1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3.2" x14ac:dyDescent="0.25">
      <c r="A296" s="1"/>
      <c r="B296" s="1"/>
      <c r="C296" s="1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3.2" x14ac:dyDescent="0.25">
      <c r="A297" s="1"/>
      <c r="B297" s="1"/>
      <c r="C297" s="1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3.2" x14ac:dyDescent="0.25">
      <c r="A298" s="1"/>
      <c r="B298" s="1"/>
      <c r="C298" s="1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3.2" x14ac:dyDescent="0.25">
      <c r="A299" s="1"/>
      <c r="B299" s="1"/>
      <c r="C299" s="1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3.2" x14ac:dyDescent="0.25">
      <c r="A300" s="1"/>
      <c r="B300" s="1"/>
      <c r="C300" s="1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3.2" x14ac:dyDescent="0.25">
      <c r="A301" s="1"/>
      <c r="B301" s="1"/>
      <c r="C301" s="1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3.2" x14ac:dyDescent="0.25">
      <c r="A302" s="1"/>
      <c r="B302" s="1"/>
      <c r="C302" s="1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3.2" x14ac:dyDescent="0.25">
      <c r="A303" s="1"/>
      <c r="B303" s="1"/>
      <c r="C303" s="1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3.2" x14ac:dyDescent="0.25">
      <c r="A304" s="1"/>
      <c r="B304" s="1"/>
      <c r="C304" s="1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3.2" x14ac:dyDescent="0.25">
      <c r="A305" s="1"/>
      <c r="B305" s="1"/>
      <c r="C305" s="1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3.2" x14ac:dyDescent="0.25">
      <c r="A306" s="1"/>
      <c r="B306" s="1"/>
      <c r="C306" s="1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3.2" x14ac:dyDescent="0.25">
      <c r="A307" s="1"/>
      <c r="B307" s="1"/>
      <c r="C307" s="1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3.2" x14ac:dyDescent="0.25">
      <c r="A308" s="1"/>
      <c r="B308" s="1"/>
      <c r="C308" s="1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3.2" x14ac:dyDescent="0.25">
      <c r="A309" s="1"/>
      <c r="B309" s="1"/>
      <c r="C309" s="1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3.2" x14ac:dyDescent="0.25">
      <c r="A310" s="1"/>
      <c r="B310" s="1"/>
      <c r="C310" s="1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3.2" x14ac:dyDescent="0.25">
      <c r="A311" s="1"/>
      <c r="B311" s="1"/>
      <c r="C311" s="1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3.2" x14ac:dyDescent="0.25">
      <c r="A312" s="1"/>
      <c r="B312" s="1"/>
      <c r="C312" s="1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3.2" x14ac:dyDescent="0.25">
      <c r="A313" s="1"/>
      <c r="B313" s="1"/>
      <c r="C313" s="1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3.2" x14ac:dyDescent="0.25">
      <c r="A314" s="1"/>
      <c r="B314" s="1"/>
      <c r="C314" s="1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3.2" x14ac:dyDescent="0.25">
      <c r="A315" s="1"/>
      <c r="B315" s="1"/>
      <c r="C315" s="1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3.2" x14ac:dyDescent="0.25">
      <c r="A316" s="1"/>
      <c r="B316" s="1"/>
      <c r="C316" s="1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3.2" x14ac:dyDescent="0.25">
      <c r="A317" s="1"/>
      <c r="B317" s="1"/>
      <c r="C317" s="1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3.2" x14ac:dyDescent="0.25">
      <c r="A318" s="1"/>
      <c r="B318" s="1"/>
      <c r="C318" s="1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3.2" x14ac:dyDescent="0.25">
      <c r="A319" s="1"/>
      <c r="B319" s="1"/>
      <c r="C319" s="1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3.2" x14ac:dyDescent="0.25">
      <c r="A320" s="1"/>
      <c r="B320" s="1"/>
      <c r="C320" s="1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3.2" x14ac:dyDescent="0.25">
      <c r="A321" s="1"/>
      <c r="B321" s="1"/>
      <c r="C321" s="1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3.2" x14ac:dyDescent="0.25">
      <c r="A322" s="1"/>
      <c r="B322" s="1"/>
      <c r="C322" s="1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3.2" x14ac:dyDescent="0.25">
      <c r="A323" s="1"/>
      <c r="B323" s="1"/>
      <c r="C323" s="1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3.2" x14ac:dyDescent="0.25">
      <c r="A324" s="1"/>
      <c r="B324" s="1"/>
      <c r="C324" s="1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3.2" x14ac:dyDescent="0.25">
      <c r="A325" s="1"/>
      <c r="B325" s="1"/>
      <c r="C325" s="1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3.2" x14ac:dyDescent="0.25">
      <c r="A326" s="1"/>
      <c r="B326" s="1"/>
      <c r="C326" s="1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3.2" x14ac:dyDescent="0.25">
      <c r="A327" s="1"/>
      <c r="B327" s="1"/>
      <c r="C327" s="1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3.2" x14ac:dyDescent="0.25">
      <c r="A328" s="1"/>
      <c r="B328" s="1"/>
      <c r="C328" s="1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3.2" x14ac:dyDescent="0.25">
      <c r="A329" s="1"/>
      <c r="B329" s="1"/>
      <c r="C329" s="1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3.2" x14ac:dyDescent="0.25">
      <c r="A330" s="1"/>
      <c r="B330" s="1"/>
      <c r="C330" s="1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3.2" x14ac:dyDescent="0.25">
      <c r="A331" s="1"/>
      <c r="B331" s="1"/>
      <c r="C331" s="1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3.2" x14ac:dyDescent="0.25">
      <c r="A332" s="1"/>
      <c r="B332" s="1"/>
      <c r="C332" s="1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3.2" x14ac:dyDescent="0.25">
      <c r="A333" s="1"/>
      <c r="B333" s="1"/>
      <c r="C333" s="1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3.2" x14ac:dyDescent="0.25">
      <c r="A334" s="1"/>
      <c r="B334" s="1"/>
      <c r="C334" s="1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3.2" x14ac:dyDescent="0.25">
      <c r="A335" s="1"/>
      <c r="B335" s="1"/>
      <c r="C335" s="1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3.2" x14ac:dyDescent="0.25">
      <c r="A336" s="1"/>
      <c r="B336" s="1"/>
      <c r="C336" s="1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3.2" x14ac:dyDescent="0.25">
      <c r="A337" s="1"/>
      <c r="B337" s="1"/>
      <c r="C337" s="1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3.2" x14ac:dyDescent="0.25">
      <c r="A338" s="1"/>
      <c r="B338" s="1"/>
      <c r="C338" s="1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3.2" x14ac:dyDescent="0.25">
      <c r="A339" s="1"/>
      <c r="B339" s="1"/>
      <c r="C339" s="1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3.2" x14ac:dyDescent="0.25">
      <c r="A340" s="1"/>
      <c r="B340" s="1"/>
      <c r="C340" s="1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3.2" x14ac:dyDescent="0.25">
      <c r="A341" s="1"/>
      <c r="B341" s="1"/>
      <c r="C341" s="1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3.2" x14ac:dyDescent="0.25">
      <c r="A342" s="1"/>
      <c r="B342" s="1"/>
      <c r="C342" s="1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3.2" x14ac:dyDescent="0.25">
      <c r="A343" s="1"/>
      <c r="B343" s="1"/>
      <c r="C343" s="1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3.2" x14ac:dyDescent="0.25">
      <c r="A344" s="1"/>
      <c r="B344" s="1"/>
      <c r="C344" s="1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3.2" x14ac:dyDescent="0.25">
      <c r="A345" s="1"/>
      <c r="B345" s="1"/>
      <c r="C345" s="1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3.2" x14ac:dyDescent="0.25">
      <c r="A346" s="1"/>
      <c r="B346" s="1"/>
      <c r="C346" s="1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3.2" x14ac:dyDescent="0.25">
      <c r="A347" s="1"/>
      <c r="B347" s="1"/>
      <c r="C347" s="1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3.2" x14ac:dyDescent="0.25">
      <c r="A348" s="1"/>
      <c r="B348" s="1"/>
      <c r="C348" s="1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3.2" x14ac:dyDescent="0.25">
      <c r="A349" s="1"/>
      <c r="B349" s="1"/>
      <c r="C349" s="1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3.2" x14ac:dyDescent="0.25">
      <c r="A350" s="1"/>
      <c r="B350" s="1"/>
      <c r="C350" s="1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3.2" x14ac:dyDescent="0.25">
      <c r="A351" s="1"/>
      <c r="B351" s="1"/>
      <c r="C351" s="1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3.2" x14ac:dyDescent="0.25">
      <c r="A352" s="1"/>
      <c r="B352" s="1"/>
      <c r="C352" s="1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.2" x14ac:dyDescent="0.25">
      <c r="A353" s="1"/>
      <c r="B353" s="1"/>
      <c r="C353" s="1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3.2" x14ac:dyDescent="0.25">
      <c r="A354" s="1"/>
      <c r="B354" s="1"/>
      <c r="C354" s="1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3.2" x14ac:dyDescent="0.25">
      <c r="A355" s="1"/>
      <c r="B355" s="1"/>
      <c r="C355" s="1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3.2" x14ac:dyDescent="0.25">
      <c r="A356" s="1"/>
      <c r="B356" s="1"/>
      <c r="C356" s="1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3.2" x14ac:dyDescent="0.25">
      <c r="A357" s="1"/>
      <c r="B357" s="1"/>
      <c r="C357" s="1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3.2" x14ac:dyDescent="0.25">
      <c r="A358" s="1"/>
      <c r="B358" s="1"/>
      <c r="C358" s="1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3.2" x14ac:dyDescent="0.25">
      <c r="A359" s="1"/>
      <c r="B359" s="1"/>
      <c r="C359" s="1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.2" x14ac:dyDescent="0.25">
      <c r="A360" s="1"/>
      <c r="B360" s="1"/>
      <c r="C360" s="1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2" x14ac:dyDescent="0.25">
      <c r="A959" s="1"/>
      <c r="B959" s="1"/>
      <c r="C959" s="1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2" x14ac:dyDescent="0.25">
      <c r="A960" s="1"/>
      <c r="B960" s="1"/>
      <c r="C960" s="1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2" x14ac:dyDescent="0.25">
      <c r="A961" s="1"/>
      <c r="B961" s="1"/>
      <c r="C961" s="1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2" x14ac:dyDescent="0.25">
      <c r="A962" s="1"/>
      <c r="B962" s="1"/>
      <c r="C962" s="1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2" x14ac:dyDescent="0.25">
      <c r="A963" s="1"/>
      <c r="B963" s="1"/>
      <c r="C963" s="1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2" x14ac:dyDescent="0.25">
      <c r="A964" s="1"/>
      <c r="B964" s="1"/>
      <c r="C964" s="1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2" x14ac:dyDescent="0.25">
      <c r="A965" s="1"/>
      <c r="B965" s="1"/>
      <c r="C965" s="1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2" x14ac:dyDescent="0.25">
      <c r="A966" s="1"/>
      <c r="B966" s="1"/>
      <c r="C966" s="1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2" x14ac:dyDescent="0.25">
      <c r="A967" s="1"/>
      <c r="B967" s="1"/>
      <c r="C967" s="1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2" x14ac:dyDescent="0.25">
      <c r="A968" s="1"/>
      <c r="B968" s="1"/>
      <c r="C968" s="1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2" x14ac:dyDescent="0.25">
      <c r="A969" s="1"/>
      <c r="B969" s="1"/>
      <c r="C969" s="1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2" x14ac:dyDescent="0.25">
      <c r="A970" s="1"/>
      <c r="B970" s="1"/>
      <c r="C970" s="1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2" x14ac:dyDescent="0.25">
      <c r="A971" s="1"/>
      <c r="B971" s="1"/>
      <c r="C971" s="1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2" x14ac:dyDescent="0.25">
      <c r="A972" s="1"/>
      <c r="B972" s="1"/>
      <c r="C972" s="1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2" x14ac:dyDescent="0.25">
      <c r="A973" s="1"/>
      <c r="B973" s="1"/>
      <c r="C973" s="1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2" x14ac:dyDescent="0.25">
      <c r="A974" s="1"/>
      <c r="B974" s="1"/>
      <c r="C974" s="1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2" x14ac:dyDescent="0.25">
      <c r="A975" s="1"/>
      <c r="B975" s="1"/>
      <c r="C975" s="1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2" x14ac:dyDescent="0.25">
      <c r="A976" s="1"/>
      <c r="B976" s="1"/>
      <c r="C976" s="1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2" x14ac:dyDescent="0.25">
      <c r="A977" s="1"/>
      <c r="B977" s="1"/>
      <c r="C977" s="1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2" x14ac:dyDescent="0.25">
      <c r="A978" s="1"/>
      <c r="B978" s="1"/>
      <c r="C978" s="1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2" x14ac:dyDescent="0.25">
      <c r="A979" s="1"/>
      <c r="B979" s="1"/>
      <c r="C979" s="1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2" x14ac:dyDescent="0.25">
      <c r="A980" s="1"/>
      <c r="B980" s="1"/>
      <c r="C980" s="1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2" x14ac:dyDescent="0.25">
      <c r="A981" s="1"/>
      <c r="B981" s="1"/>
      <c r="C981" s="1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2" x14ac:dyDescent="0.25">
      <c r="A982" s="1"/>
      <c r="B982" s="1"/>
      <c r="C982" s="1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2" x14ac:dyDescent="0.25">
      <c r="A983" s="1"/>
      <c r="B983" s="1"/>
      <c r="C983" s="1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2" x14ac:dyDescent="0.25">
      <c r="A984" s="1"/>
      <c r="B984" s="1"/>
      <c r="C984" s="1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2" x14ac:dyDescent="0.25">
      <c r="A985" s="1"/>
      <c r="B985" s="1"/>
      <c r="C985" s="1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2" x14ac:dyDescent="0.25">
      <c r="A986" s="1"/>
      <c r="B986" s="1"/>
      <c r="C986" s="1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2" x14ac:dyDescent="0.25">
      <c r="A987" s="1"/>
      <c r="B987" s="1"/>
      <c r="C987" s="1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2" x14ac:dyDescent="0.25">
      <c r="A988" s="1"/>
      <c r="B988" s="1"/>
      <c r="C988" s="1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.2" x14ac:dyDescent="0.25">
      <c r="A989" s="1"/>
      <c r="B989" s="1"/>
      <c r="C989" s="1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.2" x14ac:dyDescent="0.25">
      <c r="A990" s="1"/>
      <c r="B990" s="1"/>
      <c r="C990" s="1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.2" x14ac:dyDescent="0.25">
      <c r="A991" s="1"/>
      <c r="B991" s="1"/>
      <c r="C991" s="1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.2" x14ac:dyDescent="0.25">
      <c r="A992" s="1"/>
      <c r="B992" s="1"/>
      <c r="C992" s="1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.2" x14ac:dyDescent="0.25">
      <c r="A993" s="1"/>
      <c r="B993" s="1"/>
      <c r="C993" s="1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.2" x14ac:dyDescent="0.25">
      <c r="A994" s="1"/>
      <c r="B994" s="1"/>
      <c r="C994" s="1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.2" x14ac:dyDescent="0.25">
      <c r="A995" s="1"/>
      <c r="B995" s="1"/>
      <c r="C995" s="1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.2" x14ac:dyDescent="0.25">
      <c r="A996" s="1"/>
      <c r="B996" s="1"/>
      <c r="C996" s="1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.2" x14ac:dyDescent="0.25">
      <c r="A997" s="1"/>
      <c r="B997" s="1"/>
      <c r="C997" s="1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3.2" x14ac:dyDescent="0.25">
      <c r="A998" s="1"/>
      <c r="B998" s="1"/>
      <c r="C998" s="1"/>
      <c r="D998" s="1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3.2" x14ac:dyDescent="0.25">
      <c r="A999" s="1"/>
      <c r="B999" s="1"/>
      <c r="C999" s="1"/>
      <c r="D999" s="1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9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" sqref="F1:I1048576"/>
    </sheetView>
  </sheetViews>
  <sheetFormatPr defaultColWidth="12.6640625" defaultRowHeight="15.75" customHeight="1" x14ac:dyDescent="0.25"/>
  <cols>
    <col min="1" max="1" width="2.33203125" customWidth="1"/>
    <col min="2" max="2" width="25.21875" customWidth="1"/>
    <col min="3" max="3" width="16.88671875" customWidth="1"/>
    <col min="4" max="4" width="14.88671875" customWidth="1"/>
    <col min="5" max="5" width="16.109375" customWidth="1"/>
    <col min="6" max="6" width="14.33203125" customWidth="1"/>
    <col min="7" max="7" width="16" customWidth="1"/>
  </cols>
  <sheetData>
    <row r="1" spans="1:22" ht="15.75" customHeight="1" x14ac:dyDescent="0.25">
      <c r="A1" s="1"/>
      <c r="B1" s="1"/>
      <c r="C1" s="1"/>
      <c r="D1" s="170" t="s">
        <v>0</v>
      </c>
      <c r="E1" s="171"/>
      <c r="F1" s="170" t="s">
        <v>1</v>
      </c>
      <c r="G1" s="17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 x14ac:dyDescent="0.25">
      <c r="A2" s="1"/>
      <c r="B2" s="3" t="s">
        <v>2</v>
      </c>
      <c r="C2" s="3" t="s">
        <v>4</v>
      </c>
      <c r="D2" s="5" t="s">
        <v>5</v>
      </c>
      <c r="E2" s="6" t="s">
        <v>6</v>
      </c>
      <c r="F2" s="7" t="s">
        <v>5</v>
      </c>
      <c r="G2" s="8">
        <v>46235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25">
      <c r="A3" s="1"/>
      <c r="B3" s="9" t="s">
        <v>23</v>
      </c>
      <c r="C3" s="11"/>
      <c r="D3" s="11"/>
      <c r="E3" s="3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25">
      <c r="A4" s="1"/>
      <c r="B4" s="20" t="s">
        <v>43</v>
      </c>
      <c r="C4" s="20" t="s">
        <v>44</v>
      </c>
      <c r="D4" s="22" t="s">
        <v>47</v>
      </c>
      <c r="E4" s="24">
        <v>19.899999999999999</v>
      </c>
      <c r="F4" s="26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 x14ac:dyDescent="0.25">
      <c r="A5" s="1"/>
      <c r="B5" s="20" t="s">
        <v>10</v>
      </c>
      <c r="C5" s="20">
        <v>15</v>
      </c>
      <c r="D5" s="22" t="s">
        <v>58</v>
      </c>
      <c r="E5" s="24">
        <v>13.9</v>
      </c>
      <c r="F5" s="26" t="s">
        <v>63</v>
      </c>
      <c r="G5" s="27">
        <v>12.75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 x14ac:dyDescent="0.25">
      <c r="A6" s="1"/>
      <c r="B6" s="20" t="s">
        <v>16</v>
      </c>
      <c r="C6" s="20">
        <v>20</v>
      </c>
      <c r="D6" s="22" t="s">
        <v>67</v>
      </c>
      <c r="E6" s="24">
        <v>19.600000000000001</v>
      </c>
      <c r="F6" s="26" t="s">
        <v>71</v>
      </c>
      <c r="G6" s="27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 x14ac:dyDescent="0.25">
      <c r="A7" s="1"/>
      <c r="B7" s="20">
        <v>1</v>
      </c>
      <c r="C7" s="20">
        <v>25</v>
      </c>
      <c r="D7" s="22" t="s">
        <v>74</v>
      </c>
      <c r="E7" s="24">
        <v>34.4</v>
      </c>
      <c r="F7" s="26" t="s">
        <v>76</v>
      </c>
      <c r="G7" s="27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 x14ac:dyDescent="0.25">
      <c r="A8" s="1"/>
      <c r="B8" s="20" t="s">
        <v>27</v>
      </c>
      <c r="C8" s="20">
        <v>32</v>
      </c>
      <c r="D8" s="22" t="s">
        <v>80</v>
      </c>
      <c r="E8" s="24">
        <v>52.9</v>
      </c>
      <c r="F8" s="26" t="s">
        <v>82</v>
      </c>
      <c r="G8" s="27">
        <v>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 x14ac:dyDescent="0.25">
      <c r="A9" s="1"/>
      <c r="B9" s="20" t="s">
        <v>33</v>
      </c>
      <c r="C9" s="20">
        <v>40</v>
      </c>
      <c r="D9" s="22" t="s">
        <v>84</v>
      </c>
      <c r="E9" s="24">
        <v>68.8</v>
      </c>
      <c r="F9" s="26" t="s">
        <v>87</v>
      </c>
      <c r="G9" s="27">
        <v>71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 x14ac:dyDescent="0.25">
      <c r="A10" s="1"/>
      <c r="B10" s="20">
        <v>2</v>
      </c>
      <c r="C10" s="20">
        <v>50</v>
      </c>
      <c r="D10" s="22" t="s">
        <v>91</v>
      </c>
      <c r="E10" s="24">
        <v>103.4</v>
      </c>
      <c r="F10" s="26" t="s">
        <v>95</v>
      </c>
      <c r="G10" s="27">
        <v>105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 x14ac:dyDescent="0.25">
      <c r="A11" s="1"/>
      <c r="B11" s="20" t="s">
        <v>54</v>
      </c>
      <c r="C11" s="20">
        <v>65</v>
      </c>
      <c r="D11" s="22" t="s">
        <v>99</v>
      </c>
      <c r="E11" s="24">
        <v>254</v>
      </c>
      <c r="F11" s="26"/>
      <c r="G11" s="2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 x14ac:dyDescent="0.25">
      <c r="A12" s="1"/>
      <c r="B12" s="20">
        <v>3</v>
      </c>
      <c r="C12" s="20">
        <v>80</v>
      </c>
      <c r="D12" s="22" t="s">
        <v>110</v>
      </c>
      <c r="E12" s="24">
        <v>398</v>
      </c>
      <c r="F12" s="26"/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 x14ac:dyDescent="0.25">
      <c r="A13" s="1"/>
      <c r="B13" s="20">
        <v>4</v>
      </c>
      <c r="C13" s="20">
        <v>100</v>
      </c>
      <c r="D13" s="22" t="s">
        <v>131</v>
      </c>
      <c r="E13" s="24">
        <v>664</v>
      </c>
      <c r="F13" s="26"/>
      <c r="G13" s="2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2" x14ac:dyDescent="0.25">
      <c r="A14" s="1"/>
      <c r="B14" s="1"/>
      <c r="C14" s="1"/>
      <c r="D14" s="1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 x14ac:dyDescent="0.25">
      <c r="A15" s="1"/>
      <c r="B15" s="37" t="s">
        <v>79</v>
      </c>
      <c r="C15" s="1"/>
      <c r="D15" s="1"/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 x14ac:dyDescent="0.25">
      <c r="A16" s="1"/>
      <c r="B16" s="21">
        <v>6</v>
      </c>
      <c r="C16" s="21">
        <v>150</v>
      </c>
      <c r="D16" s="26" t="s">
        <v>154</v>
      </c>
      <c r="E16" s="27">
        <v>1090</v>
      </c>
      <c r="F16" s="26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 x14ac:dyDescent="0.25">
      <c r="A17" s="1"/>
      <c r="B17" s="1"/>
      <c r="C17" s="1"/>
      <c r="D17" s="1"/>
      <c r="E17" s="18"/>
      <c r="F17" s="32"/>
      <c r="G17" s="3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 x14ac:dyDescent="0.25">
      <c r="A18" s="1"/>
      <c r="B18" s="37" t="s">
        <v>166</v>
      </c>
      <c r="C18" s="1"/>
      <c r="D18" s="1"/>
      <c r="E18" s="18"/>
      <c r="F18" s="32"/>
      <c r="G18" s="3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 x14ac:dyDescent="0.25">
      <c r="A19" s="1"/>
      <c r="B19" s="21" t="s">
        <v>172</v>
      </c>
      <c r="C19" s="21" t="s">
        <v>174</v>
      </c>
      <c r="D19" s="26" t="s">
        <v>175</v>
      </c>
      <c r="E19" s="27">
        <v>31.8</v>
      </c>
      <c r="F19" s="26" t="s">
        <v>179</v>
      </c>
      <c r="G19" s="27">
        <v>32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 x14ac:dyDescent="0.25">
      <c r="A20" s="1"/>
      <c r="B20" s="21" t="s">
        <v>102</v>
      </c>
      <c r="C20" s="21" t="s">
        <v>104</v>
      </c>
      <c r="D20" s="26" t="s">
        <v>183</v>
      </c>
      <c r="E20" s="27">
        <v>34.4</v>
      </c>
      <c r="F20" s="26" t="s">
        <v>188</v>
      </c>
      <c r="G20" s="27">
        <v>42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 x14ac:dyDescent="0.25">
      <c r="A21" s="1"/>
      <c r="B21" s="21" t="s">
        <v>192</v>
      </c>
      <c r="C21" s="21" t="s">
        <v>193</v>
      </c>
      <c r="D21" s="26" t="s">
        <v>194</v>
      </c>
      <c r="E21" s="27">
        <v>42.4</v>
      </c>
      <c r="F21" s="26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 x14ac:dyDescent="0.25">
      <c r="A22" s="1"/>
      <c r="B22" s="21" t="s">
        <v>200</v>
      </c>
      <c r="C22" s="21" t="s">
        <v>201</v>
      </c>
      <c r="D22" s="26" t="s">
        <v>202</v>
      </c>
      <c r="E22" s="27">
        <v>44.9</v>
      </c>
      <c r="F22" s="26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 x14ac:dyDescent="0.25">
      <c r="A23" s="1"/>
      <c r="B23" s="21" t="s">
        <v>210</v>
      </c>
      <c r="C23" s="21" t="s">
        <v>211</v>
      </c>
      <c r="D23" s="26" t="s">
        <v>212</v>
      </c>
      <c r="E23" s="27">
        <v>58</v>
      </c>
      <c r="F23" s="26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 x14ac:dyDescent="0.25">
      <c r="A24" s="1"/>
      <c r="B24" s="21" t="s">
        <v>220</v>
      </c>
      <c r="C24" s="21" t="s">
        <v>221</v>
      </c>
      <c r="D24" s="26" t="s">
        <v>222</v>
      </c>
      <c r="E24" s="27">
        <v>64</v>
      </c>
      <c r="F24" s="26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 x14ac:dyDescent="0.25">
      <c r="A25" s="1"/>
      <c r="B25" s="21" t="s">
        <v>226</v>
      </c>
      <c r="C25" s="21" t="s">
        <v>227</v>
      </c>
      <c r="D25" s="26" t="s">
        <v>228</v>
      </c>
      <c r="E25" s="27">
        <v>62</v>
      </c>
      <c r="F25" s="26"/>
      <c r="G25" s="2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 x14ac:dyDescent="0.25">
      <c r="A26" s="1"/>
      <c r="B26" s="21" t="s">
        <v>233</v>
      </c>
      <c r="C26" s="21" t="s">
        <v>234</v>
      </c>
      <c r="D26" s="26" t="s">
        <v>236</v>
      </c>
      <c r="E26" s="27">
        <v>72</v>
      </c>
      <c r="F26" s="26"/>
      <c r="G26" s="2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25">
      <c r="A27" s="1"/>
      <c r="B27" s="21" t="s">
        <v>240</v>
      </c>
      <c r="C27" s="21" t="s">
        <v>241</v>
      </c>
      <c r="D27" s="26" t="s">
        <v>250</v>
      </c>
      <c r="E27" s="27">
        <v>88</v>
      </c>
      <c r="F27" s="26"/>
      <c r="G27" s="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6" x14ac:dyDescent="0.25">
      <c r="A28" s="1"/>
      <c r="B28" s="1"/>
      <c r="C28" s="1"/>
      <c r="D28" s="1"/>
      <c r="E28" s="18"/>
      <c r="F28" s="32"/>
      <c r="G28" s="3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 x14ac:dyDescent="0.25">
      <c r="A29" s="1"/>
      <c r="B29" s="37" t="s">
        <v>265</v>
      </c>
      <c r="C29" s="1"/>
      <c r="D29" s="1"/>
      <c r="E29" s="18"/>
      <c r="F29" s="32"/>
      <c r="G29" s="3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 x14ac:dyDescent="0.25">
      <c r="A30" s="1"/>
      <c r="B30" s="21" t="s">
        <v>43</v>
      </c>
      <c r="C30" s="21" t="s">
        <v>44</v>
      </c>
      <c r="D30" s="26" t="s">
        <v>275</v>
      </c>
      <c r="E30" s="27">
        <v>98</v>
      </c>
      <c r="F30" s="26"/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 x14ac:dyDescent="0.25">
      <c r="A31" s="1"/>
      <c r="B31" s="21" t="s">
        <v>172</v>
      </c>
      <c r="C31" s="21" t="s">
        <v>174</v>
      </c>
      <c r="D31" s="26" t="s">
        <v>289</v>
      </c>
      <c r="E31" s="27">
        <v>112</v>
      </c>
      <c r="F31" s="26"/>
      <c r="G31" s="2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 x14ac:dyDescent="0.25">
      <c r="A32" s="1"/>
      <c r="B32" s="21" t="s">
        <v>102</v>
      </c>
      <c r="C32" s="21" t="s">
        <v>104</v>
      </c>
      <c r="D32" s="26" t="s">
        <v>303</v>
      </c>
      <c r="E32" s="27">
        <v>196</v>
      </c>
      <c r="F32" s="26"/>
      <c r="G32" s="2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 x14ac:dyDescent="0.25">
      <c r="A33" s="1"/>
      <c r="B33" s="21" t="s">
        <v>318</v>
      </c>
      <c r="C33" s="21" t="s">
        <v>319</v>
      </c>
      <c r="D33" s="26" t="s">
        <v>321</v>
      </c>
      <c r="E33" s="27">
        <v>94</v>
      </c>
      <c r="F33" s="26"/>
      <c r="G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 x14ac:dyDescent="0.25">
      <c r="A34" s="1"/>
      <c r="B34" s="21" t="s">
        <v>328</v>
      </c>
      <c r="C34" s="21" t="s">
        <v>329</v>
      </c>
      <c r="D34" s="26" t="s">
        <v>331</v>
      </c>
      <c r="E34" s="27">
        <v>196</v>
      </c>
      <c r="F34" s="26"/>
      <c r="G34" s="2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 x14ac:dyDescent="0.25">
      <c r="A35" s="1"/>
      <c r="B35" s="1"/>
      <c r="C35" s="1"/>
      <c r="D35" s="1"/>
      <c r="E35" s="18"/>
      <c r="F35" s="32"/>
      <c r="G35" s="3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 x14ac:dyDescent="0.25">
      <c r="A36" s="1"/>
      <c r="B36" s="37" t="s">
        <v>343</v>
      </c>
      <c r="C36" s="1"/>
      <c r="D36" s="1"/>
      <c r="E36" s="18"/>
      <c r="F36" s="32"/>
      <c r="G36" s="3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 x14ac:dyDescent="0.25">
      <c r="A37" s="1"/>
      <c r="B37" s="21" t="s">
        <v>16</v>
      </c>
      <c r="C37" s="21">
        <v>20</v>
      </c>
      <c r="D37" s="26" t="s">
        <v>350</v>
      </c>
      <c r="E37" s="27">
        <v>19.600000000000001</v>
      </c>
      <c r="F37" s="26" t="s">
        <v>353</v>
      </c>
      <c r="G37" s="27">
        <v>18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6" x14ac:dyDescent="0.25">
      <c r="A38" s="1"/>
      <c r="B38" s="21" t="s">
        <v>21</v>
      </c>
      <c r="C38" s="21">
        <v>25</v>
      </c>
      <c r="D38" s="26" t="s">
        <v>357</v>
      </c>
      <c r="E38" s="27">
        <v>31</v>
      </c>
      <c r="F38" s="53" t="s">
        <v>361</v>
      </c>
      <c r="G38" s="27">
        <v>29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 x14ac:dyDescent="0.25">
      <c r="A39" s="1"/>
      <c r="B39" s="21" t="s">
        <v>27</v>
      </c>
      <c r="C39" s="21">
        <v>32</v>
      </c>
      <c r="D39" s="26" t="s">
        <v>366</v>
      </c>
      <c r="E39" s="27">
        <v>50.4</v>
      </c>
      <c r="F39" s="26" t="s">
        <v>368</v>
      </c>
      <c r="G39" s="27">
        <v>47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 x14ac:dyDescent="0.25">
      <c r="A40" s="1"/>
      <c r="B40" s="21" t="s">
        <v>33</v>
      </c>
      <c r="C40" s="21">
        <v>40</v>
      </c>
      <c r="D40" s="26" t="s">
        <v>373</v>
      </c>
      <c r="E40" s="27">
        <v>66.900000000000006</v>
      </c>
      <c r="F40" s="26" t="s">
        <v>376</v>
      </c>
      <c r="G40" s="27">
        <v>55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 x14ac:dyDescent="0.25">
      <c r="A41" s="1"/>
      <c r="B41" s="21" t="s">
        <v>38</v>
      </c>
      <c r="C41" s="21">
        <v>50</v>
      </c>
      <c r="D41" s="26" t="s">
        <v>380</v>
      </c>
      <c r="E41" s="27">
        <v>97.4</v>
      </c>
      <c r="F41" s="26" t="s">
        <v>381</v>
      </c>
      <c r="G41" s="27">
        <v>88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 x14ac:dyDescent="0.25">
      <c r="A42" s="1"/>
      <c r="B42" s="1"/>
      <c r="C42" s="1"/>
      <c r="D42" s="1"/>
      <c r="E42" s="18"/>
      <c r="F42" s="32"/>
      <c r="G42" s="3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 x14ac:dyDescent="0.25">
      <c r="A43" s="1"/>
      <c r="B43" s="37" t="s">
        <v>204</v>
      </c>
      <c r="C43" s="1"/>
      <c r="D43" s="1"/>
      <c r="E43" s="18"/>
      <c r="F43" s="32"/>
      <c r="G43" s="3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 x14ac:dyDescent="0.25">
      <c r="A44" s="1"/>
      <c r="B44" s="21" t="s">
        <v>10</v>
      </c>
      <c r="C44" s="21">
        <v>15</v>
      </c>
      <c r="D44" s="26" t="s">
        <v>388</v>
      </c>
      <c r="E44" s="27">
        <v>19.600000000000001</v>
      </c>
      <c r="F44" s="26" t="s">
        <v>391</v>
      </c>
      <c r="G44" s="27">
        <v>17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 x14ac:dyDescent="0.25">
      <c r="A45" s="1"/>
      <c r="B45" s="21" t="s">
        <v>16</v>
      </c>
      <c r="C45" s="21">
        <v>20</v>
      </c>
      <c r="D45" s="26" t="s">
        <v>394</v>
      </c>
      <c r="E45" s="27">
        <v>29.4</v>
      </c>
      <c r="F45" s="53" t="s">
        <v>396</v>
      </c>
      <c r="G45" s="27">
        <v>26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 x14ac:dyDescent="0.25">
      <c r="A46" s="1"/>
      <c r="B46" s="21">
        <v>1</v>
      </c>
      <c r="C46" s="21">
        <v>25</v>
      </c>
      <c r="D46" s="26" t="s">
        <v>399</v>
      </c>
      <c r="E46" s="27">
        <v>45.8</v>
      </c>
      <c r="F46" s="26" t="s">
        <v>401</v>
      </c>
      <c r="G46" s="27">
        <v>41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 x14ac:dyDescent="0.25">
      <c r="A47" s="1"/>
      <c r="B47" s="21" t="s">
        <v>27</v>
      </c>
      <c r="C47" s="21">
        <v>32</v>
      </c>
      <c r="D47" s="26" t="s">
        <v>404</v>
      </c>
      <c r="E47" s="27">
        <v>69.900000000000006</v>
      </c>
      <c r="F47" s="26" t="s">
        <v>407</v>
      </c>
      <c r="G47" s="27">
        <v>65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 x14ac:dyDescent="0.25">
      <c r="A48" s="1"/>
      <c r="B48" s="21" t="s">
        <v>33</v>
      </c>
      <c r="C48" s="21">
        <v>40</v>
      </c>
      <c r="D48" s="26" t="s">
        <v>408</v>
      </c>
      <c r="E48" s="27">
        <v>91.8</v>
      </c>
      <c r="F48" s="26" t="s">
        <v>410</v>
      </c>
      <c r="G48" s="27">
        <v>96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 x14ac:dyDescent="0.25">
      <c r="A49" s="1"/>
      <c r="B49" s="21">
        <v>2</v>
      </c>
      <c r="C49" s="21">
        <v>50</v>
      </c>
      <c r="D49" s="26" t="s">
        <v>413</v>
      </c>
      <c r="E49" s="27">
        <v>141.6</v>
      </c>
      <c r="F49" s="26" t="s">
        <v>415</v>
      </c>
      <c r="G49" s="27">
        <v>160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6" x14ac:dyDescent="0.25">
      <c r="A50" s="1"/>
      <c r="B50" s="1"/>
      <c r="C50" s="1"/>
      <c r="D50" s="1"/>
      <c r="E50" s="18"/>
      <c r="F50" s="32"/>
      <c r="G50" s="3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6" x14ac:dyDescent="0.25">
      <c r="A51" s="1"/>
      <c r="B51" s="37" t="s">
        <v>204</v>
      </c>
      <c r="C51" s="1"/>
      <c r="D51" s="1"/>
      <c r="E51" s="18"/>
      <c r="F51" s="32"/>
      <c r="G51" s="3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6" x14ac:dyDescent="0.25">
      <c r="A52" s="1"/>
      <c r="B52" s="21" t="s">
        <v>54</v>
      </c>
      <c r="C52" s="21">
        <v>65</v>
      </c>
      <c r="D52" s="26" t="s">
        <v>421</v>
      </c>
      <c r="E52" s="27">
        <v>338</v>
      </c>
      <c r="F52" s="26"/>
      <c r="G52" s="2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 x14ac:dyDescent="0.25">
      <c r="A53" s="1"/>
      <c r="B53" s="21">
        <v>3</v>
      </c>
      <c r="C53" s="21">
        <v>80</v>
      </c>
      <c r="D53" s="26" t="s">
        <v>423</v>
      </c>
      <c r="E53" s="27">
        <v>548</v>
      </c>
      <c r="F53" s="26"/>
      <c r="G53" s="2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 x14ac:dyDescent="0.25">
      <c r="A54" s="1"/>
      <c r="B54" s="21">
        <v>4</v>
      </c>
      <c r="C54" s="21">
        <v>100</v>
      </c>
      <c r="D54" s="26" t="s">
        <v>429</v>
      </c>
      <c r="E54" s="27">
        <v>888</v>
      </c>
      <c r="F54" s="26"/>
      <c r="G54" s="2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 x14ac:dyDescent="0.25">
      <c r="A55" s="1"/>
      <c r="B55" s="1"/>
      <c r="C55" s="1"/>
      <c r="D55" s="1"/>
      <c r="E55" s="18"/>
      <c r="F55" s="32"/>
      <c r="G55" s="3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 x14ac:dyDescent="0.25">
      <c r="A56" s="1"/>
      <c r="B56" s="37" t="s">
        <v>243</v>
      </c>
      <c r="C56" s="1"/>
      <c r="D56" s="1"/>
      <c r="E56" s="18"/>
      <c r="F56" s="32"/>
      <c r="G56" s="3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 x14ac:dyDescent="0.25">
      <c r="A57" s="1"/>
      <c r="B57" s="21">
        <v>6</v>
      </c>
      <c r="C57" s="21">
        <v>150</v>
      </c>
      <c r="D57" s="26" t="s">
        <v>445</v>
      </c>
      <c r="E57" s="27">
        <v>1248</v>
      </c>
      <c r="F57" s="26"/>
      <c r="G57" s="2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6" x14ac:dyDescent="0.25">
      <c r="A58" s="1"/>
      <c r="B58" s="1"/>
      <c r="C58" s="1"/>
      <c r="D58" s="1"/>
      <c r="E58" s="18"/>
      <c r="F58" s="32"/>
      <c r="G58" s="3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 x14ac:dyDescent="0.25">
      <c r="A59" s="1"/>
      <c r="B59" s="37" t="s">
        <v>452</v>
      </c>
      <c r="C59" s="1"/>
      <c r="D59" s="1"/>
      <c r="E59" s="18"/>
      <c r="F59" s="32"/>
      <c r="G59" s="3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 x14ac:dyDescent="0.25">
      <c r="A60" s="1"/>
      <c r="B60" s="21" t="s">
        <v>260</v>
      </c>
      <c r="C60" s="21" t="s">
        <v>263</v>
      </c>
      <c r="D60" s="26" t="s">
        <v>457</v>
      </c>
      <c r="E60" s="27">
        <v>28.8</v>
      </c>
      <c r="F60" s="26" t="s">
        <v>461</v>
      </c>
      <c r="G60" s="27">
        <v>27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 x14ac:dyDescent="0.25">
      <c r="A61" s="1"/>
      <c r="B61" s="21" t="s">
        <v>466</v>
      </c>
      <c r="C61" s="21" t="s">
        <v>467</v>
      </c>
      <c r="D61" s="26" t="s">
        <v>468</v>
      </c>
      <c r="E61" s="27">
        <v>43.8</v>
      </c>
      <c r="F61" s="26" t="s">
        <v>469</v>
      </c>
      <c r="G61" s="27">
        <v>40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 x14ac:dyDescent="0.25">
      <c r="A62" s="1"/>
      <c r="B62" s="21" t="s">
        <v>471</v>
      </c>
      <c r="C62" s="21" t="s">
        <v>472</v>
      </c>
      <c r="D62" s="26" t="s">
        <v>473</v>
      </c>
      <c r="E62" s="27">
        <v>74.400000000000006</v>
      </c>
      <c r="F62" s="26"/>
      <c r="G62" s="2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 x14ac:dyDescent="0.25">
      <c r="A63" s="1"/>
      <c r="B63" s="21" t="s">
        <v>284</v>
      </c>
      <c r="C63" s="21" t="s">
        <v>286</v>
      </c>
      <c r="D63" s="26" t="s">
        <v>477</v>
      </c>
      <c r="E63" s="27">
        <v>74.400000000000006</v>
      </c>
      <c r="F63" s="26"/>
      <c r="G63" s="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 x14ac:dyDescent="0.25">
      <c r="A64" s="1"/>
      <c r="B64" s="21" t="s">
        <v>293</v>
      </c>
      <c r="C64" s="21" t="s">
        <v>296</v>
      </c>
      <c r="D64" s="26" t="s">
        <v>482</v>
      </c>
      <c r="E64" s="27">
        <v>78</v>
      </c>
      <c r="F64" s="26"/>
      <c r="G64" s="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 x14ac:dyDescent="0.25">
      <c r="A65" s="1"/>
      <c r="B65" s="21" t="s">
        <v>274</v>
      </c>
      <c r="C65" s="21" t="s">
        <v>276</v>
      </c>
      <c r="D65" s="26" t="s">
        <v>485</v>
      </c>
      <c r="E65" s="27">
        <v>46</v>
      </c>
      <c r="F65" s="26" t="s">
        <v>487</v>
      </c>
      <c r="G65" s="27">
        <v>41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6" x14ac:dyDescent="0.25">
      <c r="A66" s="1"/>
      <c r="B66" s="21" t="s">
        <v>489</v>
      </c>
      <c r="C66" s="21" t="s">
        <v>490</v>
      </c>
      <c r="D66" s="26" t="s">
        <v>491</v>
      </c>
      <c r="E66" s="27">
        <v>89.4</v>
      </c>
      <c r="F66" s="26"/>
      <c r="G66" s="2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 x14ac:dyDescent="0.25">
      <c r="A67" s="1"/>
      <c r="B67" s="21" t="s">
        <v>304</v>
      </c>
      <c r="C67" s="21" t="s">
        <v>306</v>
      </c>
      <c r="D67" s="26" t="s">
        <v>495</v>
      </c>
      <c r="E67" s="27">
        <v>94</v>
      </c>
      <c r="F67" s="26" t="s">
        <v>497</v>
      </c>
      <c r="G67" s="27">
        <v>78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 x14ac:dyDescent="0.25">
      <c r="A68" s="1"/>
      <c r="B68" s="21" t="s">
        <v>314</v>
      </c>
      <c r="C68" s="21" t="s">
        <v>315</v>
      </c>
      <c r="D68" s="26" t="s">
        <v>502</v>
      </c>
      <c r="E68" s="27">
        <v>96</v>
      </c>
      <c r="F68" s="26" t="s">
        <v>504</v>
      </c>
      <c r="G68" s="27">
        <v>88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 x14ac:dyDescent="0.25">
      <c r="A69" s="1"/>
      <c r="B69" s="21" t="s">
        <v>325</v>
      </c>
      <c r="C69" s="21" t="s">
        <v>326</v>
      </c>
      <c r="D69" s="26" t="s">
        <v>507</v>
      </c>
      <c r="E69" s="27">
        <v>118</v>
      </c>
      <c r="F69" s="26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 x14ac:dyDescent="0.25">
      <c r="A70" s="1"/>
      <c r="B70" s="21" t="s">
        <v>510</v>
      </c>
      <c r="C70" s="21" t="s">
        <v>511</v>
      </c>
      <c r="D70" s="26" t="s">
        <v>512</v>
      </c>
      <c r="E70" s="27">
        <v>138</v>
      </c>
      <c r="F70" s="26"/>
      <c r="G70" s="2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 x14ac:dyDescent="0.25">
      <c r="A71" s="1"/>
      <c r="B71" s="21" t="s">
        <v>330</v>
      </c>
      <c r="C71" s="21" t="s">
        <v>332</v>
      </c>
      <c r="D71" s="26" t="s">
        <v>516</v>
      </c>
      <c r="E71" s="27">
        <v>198</v>
      </c>
      <c r="F71" s="26"/>
      <c r="G71" s="2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 x14ac:dyDescent="0.25">
      <c r="A72" s="1"/>
      <c r="B72" s="21" t="s">
        <v>334</v>
      </c>
      <c r="C72" s="21" t="s">
        <v>335</v>
      </c>
      <c r="D72" s="26" t="s">
        <v>520</v>
      </c>
      <c r="E72" s="27">
        <v>208</v>
      </c>
      <c r="F72" s="26" t="s">
        <v>521</v>
      </c>
      <c r="G72" s="27">
        <v>143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 x14ac:dyDescent="0.25">
      <c r="A73" s="1"/>
      <c r="B73" s="21" t="s">
        <v>339</v>
      </c>
      <c r="C73" s="21" t="s">
        <v>340</v>
      </c>
      <c r="D73" s="26" t="s">
        <v>524</v>
      </c>
      <c r="E73" s="27">
        <v>196</v>
      </c>
      <c r="F73" s="26"/>
      <c r="G73" s="2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 x14ac:dyDescent="0.25">
      <c r="A74" s="1"/>
      <c r="B74" s="21" t="s">
        <v>527</v>
      </c>
      <c r="C74" s="21" t="s">
        <v>345</v>
      </c>
      <c r="D74" s="26" t="s">
        <v>528</v>
      </c>
      <c r="E74" s="27">
        <v>152</v>
      </c>
      <c r="F74" s="26" t="s">
        <v>531</v>
      </c>
      <c r="G74" s="27">
        <v>149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6" x14ac:dyDescent="0.25">
      <c r="A75" s="1"/>
      <c r="B75" s="1"/>
      <c r="C75" s="1"/>
      <c r="D75" s="1"/>
      <c r="E75" s="18"/>
      <c r="F75" s="32"/>
      <c r="G75" s="3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6" x14ac:dyDescent="0.25">
      <c r="A76" s="1"/>
      <c r="B76" s="37" t="s">
        <v>535</v>
      </c>
      <c r="C76" s="1"/>
      <c r="D76" s="1"/>
      <c r="E76" s="18"/>
      <c r="F76" s="32"/>
      <c r="G76" s="3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 x14ac:dyDescent="0.25">
      <c r="A77" s="1"/>
      <c r="B77" s="21" t="s">
        <v>10</v>
      </c>
      <c r="C77" s="21">
        <v>15</v>
      </c>
      <c r="D77" s="26" t="s">
        <v>538</v>
      </c>
      <c r="E77" s="27">
        <v>30.2</v>
      </c>
      <c r="F77" s="26" t="s">
        <v>541</v>
      </c>
      <c r="G77" s="27">
        <v>32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 x14ac:dyDescent="0.25">
      <c r="A78" s="1"/>
      <c r="B78" s="21" t="s">
        <v>16</v>
      </c>
      <c r="C78" s="21">
        <v>20</v>
      </c>
      <c r="D78" s="26" t="s">
        <v>544</v>
      </c>
      <c r="E78" s="27">
        <v>40.6</v>
      </c>
      <c r="F78" s="26" t="s">
        <v>546</v>
      </c>
      <c r="G78" s="27">
        <v>42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 x14ac:dyDescent="0.25">
      <c r="A79" s="1"/>
      <c r="B79" s="21">
        <v>1</v>
      </c>
      <c r="C79" s="21">
        <v>25</v>
      </c>
      <c r="D79" s="26" t="s">
        <v>548</v>
      </c>
      <c r="E79" s="27">
        <v>56.8</v>
      </c>
      <c r="F79" s="26" t="s">
        <v>550</v>
      </c>
      <c r="G79" s="27">
        <v>62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 x14ac:dyDescent="0.25">
      <c r="A80" s="1"/>
      <c r="B80" s="21" t="s">
        <v>27</v>
      </c>
      <c r="C80" s="21">
        <v>32</v>
      </c>
      <c r="D80" s="26" t="s">
        <v>553</v>
      </c>
      <c r="E80" s="27">
        <v>87.2</v>
      </c>
      <c r="F80" s="26" t="s">
        <v>555</v>
      </c>
      <c r="G80" s="27">
        <v>92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 x14ac:dyDescent="0.25">
      <c r="A81" s="1"/>
      <c r="B81" s="21" t="s">
        <v>33</v>
      </c>
      <c r="C81" s="21">
        <v>40</v>
      </c>
      <c r="D81" s="26" t="s">
        <v>557</v>
      </c>
      <c r="E81" s="27">
        <v>150.80000000000001</v>
      </c>
      <c r="F81" s="26" t="s">
        <v>559</v>
      </c>
      <c r="G81" s="27">
        <v>149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 x14ac:dyDescent="0.25">
      <c r="A82" s="1"/>
      <c r="B82" s="21">
        <v>2</v>
      </c>
      <c r="C82" s="21">
        <v>50</v>
      </c>
      <c r="D82" s="26" t="s">
        <v>563</v>
      </c>
      <c r="E82" s="27">
        <v>261.2</v>
      </c>
      <c r="F82" s="26" t="s">
        <v>567</v>
      </c>
      <c r="G82" s="27">
        <v>220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 x14ac:dyDescent="0.25">
      <c r="A83" s="1"/>
      <c r="B83" s="21" t="s">
        <v>54</v>
      </c>
      <c r="C83" s="21">
        <v>65</v>
      </c>
      <c r="D83" s="26" t="s">
        <v>571</v>
      </c>
      <c r="E83" s="27">
        <v>498</v>
      </c>
      <c r="F83" s="26"/>
      <c r="G83" s="2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 x14ac:dyDescent="0.25">
      <c r="A84" s="1"/>
      <c r="B84" s="21">
        <v>3</v>
      </c>
      <c r="C84" s="21">
        <v>80</v>
      </c>
      <c r="D84" s="26" t="s">
        <v>578</v>
      </c>
      <c r="E84" s="27">
        <v>768</v>
      </c>
      <c r="F84" s="26"/>
      <c r="G84" s="2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 x14ac:dyDescent="0.25">
      <c r="A85" s="1"/>
      <c r="B85" s="21">
        <v>4</v>
      </c>
      <c r="C85" s="21">
        <v>100</v>
      </c>
      <c r="D85" s="26" t="s">
        <v>582</v>
      </c>
      <c r="E85" s="27">
        <v>1340</v>
      </c>
      <c r="F85" s="26"/>
      <c r="G85" s="2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 x14ac:dyDescent="0.25">
      <c r="A86" s="1"/>
      <c r="B86" s="1"/>
      <c r="C86" s="1"/>
      <c r="D86" s="1"/>
      <c r="E86" s="18"/>
      <c r="F86" s="32"/>
      <c r="G86" s="3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 x14ac:dyDescent="0.25">
      <c r="A87" s="1"/>
      <c r="B87" s="37" t="s">
        <v>558</v>
      </c>
      <c r="C87" s="1"/>
      <c r="D87" s="1"/>
      <c r="E87" s="18"/>
      <c r="F87" s="32"/>
      <c r="G87" s="3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 x14ac:dyDescent="0.25">
      <c r="A88" s="1"/>
      <c r="B88" s="21" t="s">
        <v>260</v>
      </c>
      <c r="C88" s="21" t="s">
        <v>263</v>
      </c>
      <c r="D88" s="26" t="s">
        <v>593</v>
      </c>
      <c r="E88" s="27">
        <v>5.9</v>
      </c>
      <c r="F88" s="26" t="s">
        <v>597</v>
      </c>
      <c r="G88" s="27">
        <v>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 x14ac:dyDescent="0.25">
      <c r="A89" s="1"/>
      <c r="B89" s="21" t="s">
        <v>466</v>
      </c>
      <c r="C89" s="21" t="s">
        <v>467</v>
      </c>
      <c r="D89" s="26" t="s">
        <v>600</v>
      </c>
      <c r="E89" s="27">
        <v>13.9</v>
      </c>
      <c r="F89" s="26" t="s">
        <v>603</v>
      </c>
      <c r="G89" s="27">
        <v>10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 x14ac:dyDescent="0.25">
      <c r="A90" s="1"/>
      <c r="B90" s="21" t="s">
        <v>471</v>
      </c>
      <c r="C90" s="21" t="s">
        <v>472</v>
      </c>
      <c r="D90" s="26" t="s">
        <v>606</v>
      </c>
      <c r="E90" s="27">
        <v>24</v>
      </c>
      <c r="F90" s="26"/>
      <c r="G90" s="2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 x14ac:dyDescent="0.25">
      <c r="A91" s="1"/>
      <c r="B91" s="21" t="s">
        <v>284</v>
      </c>
      <c r="C91" s="21" t="s">
        <v>286</v>
      </c>
      <c r="D91" s="26" t="s">
        <v>610</v>
      </c>
      <c r="E91" s="27">
        <v>25.8</v>
      </c>
      <c r="F91" s="26"/>
      <c r="G91" s="2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 x14ac:dyDescent="0.25">
      <c r="A92" s="1"/>
      <c r="B92" s="21" t="s">
        <v>293</v>
      </c>
      <c r="C92" s="21" t="s">
        <v>296</v>
      </c>
      <c r="D92" s="26" t="s">
        <v>612</v>
      </c>
      <c r="E92" s="27">
        <v>22.9</v>
      </c>
      <c r="F92" s="26" t="s">
        <v>613</v>
      </c>
      <c r="G92" s="27">
        <v>16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 x14ac:dyDescent="0.25">
      <c r="A93" s="1"/>
      <c r="B93" s="21" t="s">
        <v>615</v>
      </c>
      <c r="C93" s="21" t="s">
        <v>276</v>
      </c>
      <c r="D93" s="26" t="s">
        <v>616</v>
      </c>
      <c r="E93" s="27">
        <v>14.8</v>
      </c>
      <c r="F93" s="26" t="s">
        <v>618</v>
      </c>
      <c r="G93" s="27">
        <v>11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 x14ac:dyDescent="0.25">
      <c r="A94" s="1"/>
      <c r="B94" s="21" t="s">
        <v>489</v>
      </c>
      <c r="C94" s="21" t="s">
        <v>490</v>
      </c>
      <c r="D94" s="26" t="s">
        <v>621</v>
      </c>
      <c r="E94" s="27">
        <v>34.200000000000003</v>
      </c>
      <c r="F94" s="26"/>
      <c r="G94" s="2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 x14ac:dyDescent="0.25">
      <c r="A95" s="1"/>
      <c r="B95" s="21" t="s">
        <v>304</v>
      </c>
      <c r="C95" s="21" t="s">
        <v>306</v>
      </c>
      <c r="D95" s="26" t="s">
        <v>625</v>
      </c>
      <c r="E95" s="27">
        <v>30.6</v>
      </c>
      <c r="F95" s="26"/>
      <c r="G95" s="2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 x14ac:dyDescent="0.25">
      <c r="A96" s="1"/>
      <c r="B96" s="21" t="s">
        <v>314</v>
      </c>
      <c r="C96" s="21" t="s">
        <v>315</v>
      </c>
      <c r="D96" s="26" t="s">
        <v>628</v>
      </c>
      <c r="E96" s="27">
        <v>30.6</v>
      </c>
      <c r="F96" s="26" t="s">
        <v>629</v>
      </c>
      <c r="G96" s="27">
        <v>40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 x14ac:dyDescent="0.25">
      <c r="A97" s="1"/>
      <c r="B97" s="21" t="s">
        <v>325</v>
      </c>
      <c r="C97" s="21" t="s">
        <v>326</v>
      </c>
      <c r="D97" s="26" t="s">
        <v>632</v>
      </c>
      <c r="E97" s="27">
        <v>40.6</v>
      </c>
      <c r="F97" s="26"/>
      <c r="G97" s="2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6" x14ac:dyDescent="0.25">
      <c r="A98" s="1"/>
      <c r="B98" s="21" t="s">
        <v>510</v>
      </c>
      <c r="C98" s="21" t="s">
        <v>511</v>
      </c>
      <c r="D98" s="26" t="s">
        <v>637</v>
      </c>
      <c r="E98" s="27">
        <v>60.2</v>
      </c>
      <c r="F98" s="26"/>
      <c r="G98" s="2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6" x14ac:dyDescent="0.25">
      <c r="A99" s="1"/>
      <c r="B99" s="21" t="s">
        <v>330</v>
      </c>
      <c r="C99" s="21" t="s">
        <v>332</v>
      </c>
      <c r="D99" s="26" t="s">
        <v>641</v>
      </c>
      <c r="E99" s="27">
        <v>54.3</v>
      </c>
      <c r="F99" s="26"/>
      <c r="G99" s="2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 x14ac:dyDescent="0.25">
      <c r="A100" s="1"/>
      <c r="B100" s="21" t="s">
        <v>334</v>
      </c>
      <c r="C100" s="21" t="s">
        <v>335</v>
      </c>
      <c r="D100" s="26" t="s">
        <v>645</v>
      </c>
      <c r="E100" s="27">
        <v>61.9</v>
      </c>
      <c r="F100" s="26" t="s">
        <v>646</v>
      </c>
      <c r="G100" s="27">
        <v>46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 x14ac:dyDescent="0.25">
      <c r="A101" s="1"/>
      <c r="B101" s="21" t="s">
        <v>339</v>
      </c>
      <c r="C101" s="21" t="s">
        <v>340</v>
      </c>
      <c r="D101" s="26" t="s">
        <v>650</v>
      </c>
      <c r="E101" s="27">
        <v>54.3</v>
      </c>
      <c r="F101" s="26"/>
      <c r="G101" s="2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 x14ac:dyDescent="0.25">
      <c r="A102" s="1"/>
      <c r="B102" s="21" t="s">
        <v>344</v>
      </c>
      <c r="C102" s="21" t="s">
        <v>345</v>
      </c>
      <c r="D102" s="26" t="s">
        <v>654</v>
      </c>
      <c r="E102" s="27">
        <v>52</v>
      </c>
      <c r="F102" s="26" t="s">
        <v>655</v>
      </c>
      <c r="G102" s="27">
        <v>41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 x14ac:dyDescent="0.25">
      <c r="A103" s="1"/>
      <c r="B103" s="1"/>
      <c r="C103" s="1"/>
      <c r="D103" s="1"/>
      <c r="E103" s="18"/>
      <c r="F103" s="32"/>
      <c r="G103" s="3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 x14ac:dyDescent="0.25">
      <c r="A104" s="1"/>
      <c r="B104" s="37" t="s">
        <v>558</v>
      </c>
      <c r="C104" s="1"/>
      <c r="D104" s="1"/>
      <c r="E104" s="18"/>
      <c r="F104" s="32"/>
      <c r="G104" s="3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 x14ac:dyDescent="0.25">
      <c r="A105" s="1"/>
      <c r="B105" s="21" t="s">
        <v>560</v>
      </c>
      <c r="C105" s="21" t="s">
        <v>561</v>
      </c>
      <c r="D105" s="26" t="s">
        <v>661</v>
      </c>
      <c r="E105" s="27">
        <v>88</v>
      </c>
      <c r="F105" s="26"/>
      <c r="G105" s="2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 x14ac:dyDescent="0.25">
      <c r="A106" s="1"/>
      <c r="B106" s="21" t="s">
        <v>564</v>
      </c>
      <c r="C106" s="21" t="s">
        <v>565</v>
      </c>
      <c r="D106" s="26" t="s">
        <v>663</v>
      </c>
      <c r="E106" s="27">
        <v>62</v>
      </c>
      <c r="F106" s="26"/>
      <c r="G106" s="2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 x14ac:dyDescent="0.25">
      <c r="A107" s="1"/>
      <c r="B107" s="21" t="s">
        <v>569</v>
      </c>
      <c r="C107" s="21" t="s">
        <v>570</v>
      </c>
      <c r="D107" s="26" t="s">
        <v>664</v>
      </c>
      <c r="E107" s="27">
        <v>154</v>
      </c>
      <c r="F107" s="26"/>
      <c r="G107" s="2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 x14ac:dyDescent="0.25">
      <c r="A108" s="1"/>
      <c r="B108" s="21" t="s">
        <v>574</v>
      </c>
      <c r="C108" s="21" t="s">
        <v>665</v>
      </c>
      <c r="D108" s="26" t="s">
        <v>666</v>
      </c>
      <c r="E108" s="27">
        <v>126</v>
      </c>
      <c r="F108" s="26"/>
      <c r="G108" s="2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 x14ac:dyDescent="0.25">
      <c r="A109" s="1"/>
      <c r="B109" s="21" t="s">
        <v>579</v>
      </c>
      <c r="C109" s="21" t="s">
        <v>580</v>
      </c>
      <c r="D109" s="26" t="s">
        <v>667</v>
      </c>
      <c r="E109" s="27">
        <v>248</v>
      </c>
      <c r="F109" s="26"/>
      <c r="G109" s="2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 x14ac:dyDescent="0.25">
      <c r="A110" s="1"/>
      <c r="B110" s="21" t="s">
        <v>584</v>
      </c>
      <c r="C110" s="21" t="s">
        <v>585</v>
      </c>
      <c r="D110" s="26" t="s">
        <v>668</v>
      </c>
      <c r="E110" s="27">
        <v>216</v>
      </c>
      <c r="F110" s="26"/>
      <c r="G110" s="2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 x14ac:dyDescent="0.25">
      <c r="A111" s="1"/>
      <c r="B111" s="21" t="s">
        <v>588</v>
      </c>
      <c r="C111" s="21" t="s">
        <v>589</v>
      </c>
      <c r="D111" s="26" t="s">
        <v>671</v>
      </c>
      <c r="E111" s="27">
        <v>278</v>
      </c>
      <c r="F111" s="26"/>
      <c r="G111" s="2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 x14ac:dyDescent="0.25">
      <c r="A112" s="1"/>
      <c r="B112" s="1"/>
      <c r="C112" s="1"/>
      <c r="D112" s="1"/>
      <c r="E112" s="18"/>
      <c r="F112" s="32"/>
      <c r="G112" s="3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 x14ac:dyDescent="0.25">
      <c r="A113" s="1"/>
      <c r="B113" s="37" t="s">
        <v>677</v>
      </c>
      <c r="C113" s="1"/>
      <c r="D113" s="1"/>
      <c r="E113" s="18"/>
      <c r="F113" s="32"/>
      <c r="G113" s="3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 x14ac:dyDescent="0.25">
      <c r="A114" s="1"/>
      <c r="B114" s="21" t="s">
        <v>43</v>
      </c>
      <c r="C114" s="21" t="s">
        <v>44</v>
      </c>
      <c r="D114" s="26" t="s">
        <v>680</v>
      </c>
      <c r="E114" s="27">
        <v>15.5</v>
      </c>
      <c r="F114" s="26" t="s">
        <v>683</v>
      </c>
      <c r="G114" s="27">
        <v>16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 x14ac:dyDescent="0.25">
      <c r="A115" s="1"/>
      <c r="B115" s="21" t="s">
        <v>172</v>
      </c>
      <c r="C115" s="21" t="s">
        <v>174</v>
      </c>
      <c r="D115" s="26" t="s">
        <v>686</v>
      </c>
      <c r="E115" s="27">
        <v>23.8</v>
      </c>
      <c r="F115" s="26" t="s">
        <v>688</v>
      </c>
      <c r="G115" s="27">
        <v>19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 x14ac:dyDescent="0.25">
      <c r="A116" s="1"/>
      <c r="B116" s="21" t="s">
        <v>102</v>
      </c>
      <c r="C116" s="21" t="s">
        <v>104</v>
      </c>
      <c r="D116" s="26" t="s">
        <v>692</v>
      </c>
      <c r="E116" s="27">
        <v>25.2</v>
      </c>
      <c r="F116" s="26" t="s">
        <v>695</v>
      </c>
      <c r="G116" s="27">
        <v>23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 x14ac:dyDescent="0.25">
      <c r="A117" s="1"/>
      <c r="B117" s="21" t="s">
        <v>192</v>
      </c>
      <c r="C117" s="21" t="s">
        <v>193</v>
      </c>
      <c r="D117" s="26" t="s">
        <v>701</v>
      </c>
      <c r="E117" s="27">
        <v>31.2</v>
      </c>
      <c r="F117" s="26"/>
      <c r="G117" s="2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 x14ac:dyDescent="0.25">
      <c r="A118" s="1"/>
      <c r="B118" s="21" t="s">
        <v>200</v>
      </c>
      <c r="C118" s="21" t="s">
        <v>201</v>
      </c>
      <c r="D118" s="26" t="s">
        <v>705</v>
      </c>
      <c r="E118" s="27">
        <v>32</v>
      </c>
      <c r="F118" s="26"/>
      <c r="G118" s="2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 x14ac:dyDescent="0.25">
      <c r="A119" s="1"/>
      <c r="B119" s="21" t="s">
        <v>210</v>
      </c>
      <c r="C119" s="21" t="s">
        <v>211</v>
      </c>
      <c r="D119" s="26" t="s">
        <v>711</v>
      </c>
      <c r="E119" s="27">
        <v>35.700000000000003</v>
      </c>
      <c r="F119" s="26" t="s">
        <v>715</v>
      </c>
      <c r="G119" s="27">
        <v>36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 x14ac:dyDescent="0.25">
      <c r="A120" s="1"/>
      <c r="B120" s="21" t="s">
        <v>220</v>
      </c>
      <c r="C120" s="21" t="s">
        <v>221</v>
      </c>
      <c r="D120" s="26" t="s">
        <v>719</v>
      </c>
      <c r="E120" s="27">
        <v>80.599999999999994</v>
      </c>
      <c r="F120" s="26"/>
      <c r="G120" s="2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6" x14ac:dyDescent="0.25">
      <c r="A121" s="1"/>
      <c r="B121" s="21" t="s">
        <v>226</v>
      </c>
      <c r="C121" s="21" t="s">
        <v>227</v>
      </c>
      <c r="D121" s="26" t="s">
        <v>723</v>
      </c>
      <c r="E121" s="27">
        <v>42.6</v>
      </c>
      <c r="F121" s="26"/>
      <c r="G121" s="2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6" x14ac:dyDescent="0.25">
      <c r="A122" s="1"/>
      <c r="B122" s="21" t="s">
        <v>233</v>
      </c>
      <c r="C122" s="21" t="s">
        <v>234</v>
      </c>
      <c r="D122" s="26" t="s">
        <v>727</v>
      </c>
      <c r="E122" s="27">
        <v>47</v>
      </c>
      <c r="F122" s="26" t="s">
        <v>729</v>
      </c>
      <c r="G122" s="27">
        <v>50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6" x14ac:dyDescent="0.25">
      <c r="A123" s="1"/>
      <c r="B123" s="21" t="s">
        <v>240</v>
      </c>
      <c r="C123" s="21" t="s">
        <v>241</v>
      </c>
      <c r="D123" s="26" t="s">
        <v>733</v>
      </c>
      <c r="E123" s="27">
        <v>63</v>
      </c>
      <c r="F123" s="26"/>
      <c r="G123" s="2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6" x14ac:dyDescent="0.25">
      <c r="A124" s="1"/>
      <c r="B124" s="21" t="s">
        <v>736</v>
      </c>
      <c r="C124" s="21" t="s">
        <v>737</v>
      </c>
      <c r="D124" s="26" t="s">
        <v>739</v>
      </c>
      <c r="E124" s="27">
        <v>123.6</v>
      </c>
      <c r="F124" s="26"/>
      <c r="G124" s="2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6" x14ac:dyDescent="0.25">
      <c r="A125" s="1"/>
      <c r="B125" s="21" t="s">
        <v>449</v>
      </c>
      <c r="C125" s="21" t="s">
        <v>450</v>
      </c>
      <c r="D125" s="26" t="s">
        <v>746</v>
      </c>
      <c r="E125" s="27">
        <v>122.6</v>
      </c>
      <c r="F125" s="26"/>
      <c r="G125" s="2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6" x14ac:dyDescent="0.25">
      <c r="A126" s="1"/>
      <c r="B126" s="21" t="s">
        <v>453</v>
      </c>
      <c r="C126" s="21" t="s">
        <v>454</v>
      </c>
      <c r="D126" s="26" t="s">
        <v>752</v>
      </c>
      <c r="E126" s="27">
        <v>124.8</v>
      </c>
      <c r="F126" s="26" t="s">
        <v>754</v>
      </c>
      <c r="G126" s="27">
        <v>60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6" x14ac:dyDescent="0.25">
      <c r="A127" s="1"/>
      <c r="B127" s="21" t="s">
        <v>458</v>
      </c>
      <c r="C127" s="21" t="s">
        <v>459</v>
      </c>
      <c r="D127" s="26" t="s">
        <v>757</v>
      </c>
      <c r="E127" s="27">
        <v>121.1</v>
      </c>
      <c r="F127" s="26"/>
      <c r="G127" s="2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6" x14ac:dyDescent="0.25">
      <c r="A128" s="1"/>
      <c r="B128" s="21" t="s">
        <v>463</v>
      </c>
      <c r="C128" s="21" t="s">
        <v>464</v>
      </c>
      <c r="D128" s="26" t="s">
        <v>761</v>
      </c>
      <c r="E128" s="27">
        <v>111.9</v>
      </c>
      <c r="F128" s="26" t="s">
        <v>763</v>
      </c>
      <c r="G128" s="27">
        <v>63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6" x14ac:dyDescent="0.25">
      <c r="A129" s="1"/>
      <c r="B129" s="1"/>
      <c r="C129" s="1"/>
      <c r="D129" s="1"/>
      <c r="E129" s="18"/>
      <c r="F129" s="32"/>
      <c r="G129" s="3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6" x14ac:dyDescent="0.25">
      <c r="A130" s="1"/>
      <c r="B130" s="37" t="s">
        <v>774</v>
      </c>
      <c r="C130" s="1"/>
      <c r="D130" s="1"/>
      <c r="E130" s="18"/>
      <c r="F130" s="32"/>
      <c r="G130" s="3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6" x14ac:dyDescent="0.25">
      <c r="A131" s="1"/>
      <c r="B131" s="21" t="s">
        <v>10</v>
      </c>
      <c r="C131" s="21">
        <v>15</v>
      </c>
      <c r="D131" s="26" t="s">
        <v>777</v>
      </c>
      <c r="E131" s="27">
        <v>10.5</v>
      </c>
      <c r="F131" s="26" t="s">
        <v>778</v>
      </c>
      <c r="G131" s="27">
        <v>10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6" x14ac:dyDescent="0.25">
      <c r="A132" s="1"/>
      <c r="B132" s="21" t="s">
        <v>16</v>
      </c>
      <c r="C132" s="21">
        <v>20</v>
      </c>
      <c r="D132" s="26" t="s">
        <v>779</v>
      </c>
      <c r="E132" s="27">
        <v>15.6</v>
      </c>
      <c r="F132" s="26" t="s">
        <v>783</v>
      </c>
      <c r="G132" s="27">
        <v>14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 x14ac:dyDescent="0.25">
      <c r="A133" s="1"/>
      <c r="B133" s="21">
        <v>1</v>
      </c>
      <c r="C133" s="21">
        <v>25</v>
      </c>
      <c r="D133" s="26" t="s">
        <v>788</v>
      </c>
      <c r="E133" s="27">
        <v>24.8</v>
      </c>
      <c r="F133" s="26" t="s">
        <v>792</v>
      </c>
      <c r="G133" s="27">
        <v>23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 x14ac:dyDescent="0.25">
      <c r="A134" s="1"/>
      <c r="B134" s="21" t="s">
        <v>27</v>
      </c>
      <c r="C134" s="21">
        <v>32</v>
      </c>
      <c r="D134" s="26" t="s">
        <v>795</v>
      </c>
      <c r="E134" s="27">
        <v>36.1</v>
      </c>
      <c r="F134" s="26" t="s">
        <v>798</v>
      </c>
      <c r="G134" s="27">
        <v>34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 x14ac:dyDescent="0.25">
      <c r="A135" s="1"/>
      <c r="B135" s="21" t="s">
        <v>33</v>
      </c>
      <c r="C135" s="21">
        <v>40</v>
      </c>
      <c r="D135" s="26" t="s">
        <v>800</v>
      </c>
      <c r="E135" s="27">
        <v>45.5</v>
      </c>
      <c r="F135" s="53" t="s">
        <v>803</v>
      </c>
      <c r="G135" s="27">
        <v>45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 x14ac:dyDescent="0.25">
      <c r="A136" s="1"/>
      <c r="B136" s="21">
        <v>2</v>
      </c>
      <c r="C136" s="21">
        <v>50</v>
      </c>
      <c r="D136" s="26" t="s">
        <v>806</v>
      </c>
      <c r="E136" s="27">
        <v>68.400000000000006</v>
      </c>
      <c r="F136" s="26" t="s">
        <v>808</v>
      </c>
      <c r="G136" s="27">
        <v>67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 x14ac:dyDescent="0.25">
      <c r="A137" s="1"/>
      <c r="B137" s="1"/>
      <c r="C137" s="1"/>
      <c r="D137" s="1"/>
      <c r="E137" s="18"/>
      <c r="F137" s="32"/>
      <c r="G137" s="3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 x14ac:dyDescent="0.25">
      <c r="A138" s="1"/>
      <c r="B138" s="37" t="s">
        <v>774</v>
      </c>
      <c r="C138" s="1"/>
      <c r="D138" s="1"/>
      <c r="E138" s="18"/>
      <c r="F138" s="32"/>
      <c r="G138" s="3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 x14ac:dyDescent="0.25">
      <c r="A139" s="1"/>
      <c r="B139" s="21" t="s">
        <v>54</v>
      </c>
      <c r="C139" s="21">
        <v>65</v>
      </c>
      <c r="D139" s="26" t="s">
        <v>815</v>
      </c>
      <c r="E139" s="27">
        <v>168</v>
      </c>
      <c r="F139" s="26"/>
      <c r="G139" s="2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 x14ac:dyDescent="0.25">
      <c r="A140" s="1"/>
      <c r="B140" s="21">
        <v>3</v>
      </c>
      <c r="C140" s="21">
        <v>80</v>
      </c>
      <c r="D140" s="26" t="s">
        <v>820</v>
      </c>
      <c r="E140" s="27">
        <v>228</v>
      </c>
      <c r="F140" s="26"/>
      <c r="G140" s="2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 x14ac:dyDescent="0.25">
      <c r="A141" s="1"/>
      <c r="B141" s="21">
        <v>4</v>
      </c>
      <c r="C141" s="21">
        <v>100</v>
      </c>
      <c r="D141" s="26" t="s">
        <v>825</v>
      </c>
      <c r="E141" s="27">
        <v>362</v>
      </c>
      <c r="F141" s="26"/>
      <c r="G141" s="2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 x14ac:dyDescent="0.25">
      <c r="A142" s="1"/>
      <c r="B142" s="1"/>
      <c r="C142" s="1"/>
      <c r="D142" s="1"/>
      <c r="E142" s="18"/>
      <c r="F142" s="32"/>
      <c r="G142" s="3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 x14ac:dyDescent="0.25">
      <c r="A143" s="1"/>
      <c r="B143" s="37" t="s">
        <v>832</v>
      </c>
      <c r="C143" s="1"/>
      <c r="D143" s="1"/>
      <c r="E143" s="18"/>
      <c r="F143" s="32"/>
      <c r="G143" s="3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6" x14ac:dyDescent="0.25">
      <c r="A144" s="1"/>
      <c r="B144" s="21">
        <v>6</v>
      </c>
      <c r="C144" s="21">
        <v>150</v>
      </c>
      <c r="D144" s="26" t="s">
        <v>835</v>
      </c>
      <c r="E144" s="27">
        <v>534</v>
      </c>
      <c r="F144" s="26"/>
      <c r="G144" s="2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 x14ac:dyDescent="0.25">
      <c r="A145" s="1"/>
      <c r="B145" s="1"/>
      <c r="C145" s="1"/>
      <c r="D145" s="1"/>
      <c r="E145" s="18"/>
      <c r="F145" s="32"/>
      <c r="G145" s="3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 x14ac:dyDescent="0.25">
      <c r="A146" s="1"/>
      <c r="B146" s="37" t="s">
        <v>841</v>
      </c>
      <c r="C146" s="1"/>
      <c r="D146" s="1"/>
      <c r="E146" s="18"/>
      <c r="F146" s="32"/>
      <c r="G146" s="3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 x14ac:dyDescent="0.25">
      <c r="A147" s="1"/>
      <c r="B147" s="21" t="s">
        <v>10</v>
      </c>
      <c r="C147" s="21">
        <v>15</v>
      </c>
      <c r="D147" s="26" t="s">
        <v>845</v>
      </c>
      <c r="E147" s="27">
        <v>6.6</v>
      </c>
      <c r="F147" s="26" t="s">
        <v>847</v>
      </c>
      <c r="G147" s="27">
        <v>7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 x14ac:dyDescent="0.25">
      <c r="A148" s="1"/>
      <c r="B148" s="21" t="s">
        <v>16</v>
      </c>
      <c r="C148" s="21">
        <v>20</v>
      </c>
      <c r="D148" s="26" t="s">
        <v>850</v>
      </c>
      <c r="E148" s="27">
        <v>9.1999999999999993</v>
      </c>
      <c r="F148" s="26" t="s">
        <v>853</v>
      </c>
      <c r="G148" s="27">
        <v>11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 x14ac:dyDescent="0.25">
      <c r="A149" s="1"/>
      <c r="B149" s="21">
        <v>1</v>
      </c>
      <c r="C149" s="21">
        <v>25</v>
      </c>
      <c r="D149" s="26" t="s">
        <v>855</v>
      </c>
      <c r="E149" s="27">
        <v>15.2</v>
      </c>
      <c r="F149" s="26" t="s">
        <v>857</v>
      </c>
      <c r="G149" s="27">
        <v>18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6" x14ac:dyDescent="0.25">
      <c r="A150" s="1"/>
      <c r="B150" s="21" t="s">
        <v>27</v>
      </c>
      <c r="C150" s="21">
        <v>32</v>
      </c>
      <c r="D150" s="26" t="s">
        <v>861</v>
      </c>
      <c r="E150" s="27">
        <v>24.8</v>
      </c>
      <c r="F150" s="26" t="s">
        <v>863</v>
      </c>
      <c r="G150" s="27">
        <v>23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6" x14ac:dyDescent="0.25">
      <c r="A151" s="1"/>
      <c r="B151" s="21" t="s">
        <v>33</v>
      </c>
      <c r="C151" s="21">
        <v>40</v>
      </c>
      <c r="D151" s="26" t="s">
        <v>866</v>
      </c>
      <c r="E151" s="27">
        <v>30.8</v>
      </c>
      <c r="F151" s="26" t="s">
        <v>868</v>
      </c>
      <c r="G151" s="27">
        <v>33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 x14ac:dyDescent="0.25">
      <c r="A152" s="1"/>
      <c r="B152" s="21">
        <v>2</v>
      </c>
      <c r="C152" s="21">
        <v>50</v>
      </c>
      <c r="D152" s="26" t="s">
        <v>870</v>
      </c>
      <c r="E152" s="27">
        <v>49.8</v>
      </c>
      <c r="F152" s="26" t="s">
        <v>872</v>
      </c>
      <c r="G152" s="27">
        <v>55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 x14ac:dyDescent="0.25">
      <c r="A153" s="1"/>
      <c r="B153" s="1"/>
      <c r="C153" s="1"/>
      <c r="D153" s="1"/>
      <c r="E153" s="18"/>
      <c r="F153" s="32"/>
      <c r="G153" s="3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 x14ac:dyDescent="0.25">
      <c r="A154" s="1"/>
      <c r="B154" s="37" t="s">
        <v>841</v>
      </c>
      <c r="C154" s="1"/>
      <c r="D154" s="1"/>
      <c r="E154" s="18"/>
      <c r="F154" s="32"/>
      <c r="G154" s="3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 x14ac:dyDescent="0.25">
      <c r="A155" s="1"/>
      <c r="B155" s="21" t="s">
        <v>54</v>
      </c>
      <c r="C155" s="21">
        <v>65</v>
      </c>
      <c r="D155" s="26" t="s">
        <v>877</v>
      </c>
      <c r="E155" s="27">
        <v>99.4</v>
      </c>
      <c r="F155" s="26"/>
      <c r="G155" s="2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 x14ac:dyDescent="0.25">
      <c r="A156" s="1"/>
      <c r="B156" s="21">
        <v>3</v>
      </c>
      <c r="C156" s="21">
        <v>80</v>
      </c>
      <c r="D156" s="26" t="s">
        <v>882</v>
      </c>
      <c r="E156" s="27">
        <v>148</v>
      </c>
      <c r="F156" s="26"/>
      <c r="G156" s="2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 x14ac:dyDescent="0.25">
      <c r="A157" s="1"/>
      <c r="B157" s="21">
        <v>4</v>
      </c>
      <c r="C157" s="21">
        <v>100</v>
      </c>
      <c r="D157" s="26" t="s">
        <v>883</v>
      </c>
      <c r="E157" s="27">
        <v>248</v>
      </c>
      <c r="F157" s="26"/>
      <c r="G157" s="2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 x14ac:dyDescent="0.25">
      <c r="A158" s="1"/>
      <c r="B158" s="1"/>
      <c r="C158" s="1"/>
      <c r="D158" s="1"/>
      <c r="E158" s="18"/>
      <c r="F158" s="32"/>
      <c r="G158" s="3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 x14ac:dyDescent="0.25">
      <c r="A159" s="1"/>
      <c r="B159" s="37" t="s">
        <v>614</v>
      </c>
      <c r="C159" s="1"/>
      <c r="D159" s="1"/>
      <c r="E159" s="18"/>
      <c r="F159" s="32"/>
      <c r="G159" s="3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 x14ac:dyDescent="0.25">
      <c r="A160" s="1"/>
      <c r="B160" s="21" t="s">
        <v>10</v>
      </c>
      <c r="C160" s="21">
        <v>15</v>
      </c>
      <c r="D160" s="26" t="s">
        <v>886</v>
      </c>
      <c r="E160" s="27">
        <v>7.5</v>
      </c>
      <c r="F160" s="26" t="s">
        <v>887</v>
      </c>
      <c r="G160" s="27">
        <v>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 x14ac:dyDescent="0.25">
      <c r="A161" s="1"/>
      <c r="B161" s="21" t="s">
        <v>16</v>
      </c>
      <c r="C161" s="21">
        <v>20</v>
      </c>
      <c r="D161" s="26" t="s">
        <v>890</v>
      </c>
      <c r="E161" s="27">
        <v>10.9</v>
      </c>
      <c r="F161" s="26" t="s">
        <v>891</v>
      </c>
      <c r="G161" s="27">
        <v>12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 x14ac:dyDescent="0.25">
      <c r="A162" s="1"/>
      <c r="B162" s="21">
        <v>1</v>
      </c>
      <c r="C162" s="21">
        <v>25</v>
      </c>
      <c r="D162" s="26" t="s">
        <v>893</v>
      </c>
      <c r="E162" s="27">
        <v>20.399999999999999</v>
      </c>
      <c r="F162" s="26" t="s">
        <v>894</v>
      </c>
      <c r="G162" s="27">
        <v>20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 x14ac:dyDescent="0.25">
      <c r="A163" s="1"/>
      <c r="B163" s="21" t="s">
        <v>27</v>
      </c>
      <c r="C163" s="21">
        <v>32</v>
      </c>
      <c r="D163" s="26" t="s">
        <v>895</v>
      </c>
      <c r="E163" s="27">
        <v>29.2</v>
      </c>
      <c r="F163" s="26" t="s">
        <v>896</v>
      </c>
      <c r="G163" s="27">
        <v>36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 x14ac:dyDescent="0.25">
      <c r="A164" s="1"/>
      <c r="B164" s="21" t="s">
        <v>33</v>
      </c>
      <c r="C164" s="21">
        <v>40</v>
      </c>
      <c r="D164" s="26" t="s">
        <v>897</v>
      </c>
      <c r="E164" s="27">
        <v>36.200000000000003</v>
      </c>
      <c r="F164" s="26" t="s">
        <v>900</v>
      </c>
      <c r="G164" s="27">
        <v>39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 x14ac:dyDescent="0.25">
      <c r="A165" s="1"/>
      <c r="B165" s="21">
        <v>2</v>
      </c>
      <c r="C165" s="21">
        <v>50</v>
      </c>
      <c r="D165" s="26" t="s">
        <v>902</v>
      </c>
      <c r="E165" s="27">
        <v>54.6</v>
      </c>
      <c r="F165" s="26" t="s">
        <v>904</v>
      </c>
      <c r="G165" s="27">
        <v>62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 x14ac:dyDescent="0.25">
      <c r="A166" s="1"/>
      <c r="B166" s="1"/>
      <c r="C166" s="1"/>
      <c r="D166" s="1"/>
      <c r="E166" s="18"/>
      <c r="F166" s="32"/>
      <c r="G166" s="3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 x14ac:dyDescent="0.25">
      <c r="A167" s="1"/>
      <c r="B167" s="37" t="s">
        <v>614</v>
      </c>
      <c r="C167" s="1"/>
      <c r="D167" s="1"/>
      <c r="E167" s="18"/>
      <c r="F167" s="32"/>
      <c r="G167" s="3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 x14ac:dyDescent="0.25">
      <c r="A168" s="1"/>
      <c r="B168" s="21" t="s">
        <v>54</v>
      </c>
      <c r="C168" s="21">
        <v>65</v>
      </c>
      <c r="D168" s="26" t="s">
        <v>913</v>
      </c>
      <c r="E168" s="27">
        <v>109</v>
      </c>
      <c r="F168" s="26"/>
      <c r="G168" s="2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 x14ac:dyDescent="0.25">
      <c r="A169" s="1"/>
      <c r="B169" s="21">
        <v>3</v>
      </c>
      <c r="C169" s="21">
        <v>80</v>
      </c>
      <c r="D169" s="26" t="s">
        <v>916</v>
      </c>
      <c r="E169" s="27">
        <v>154</v>
      </c>
      <c r="F169" s="26"/>
      <c r="G169" s="2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 x14ac:dyDescent="0.25">
      <c r="A170" s="1"/>
      <c r="B170" s="21">
        <v>4</v>
      </c>
      <c r="C170" s="21">
        <v>100</v>
      </c>
      <c r="D170" s="26" t="s">
        <v>919</v>
      </c>
      <c r="E170" s="27">
        <v>298</v>
      </c>
      <c r="F170" s="26"/>
      <c r="G170" s="2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 x14ac:dyDescent="0.25">
      <c r="A171" s="1"/>
      <c r="B171" s="1"/>
      <c r="C171" s="1"/>
      <c r="D171" s="1"/>
      <c r="E171" s="18"/>
      <c r="F171" s="32"/>
      <c r="G171" s="3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 x14ac:dyDescent="0.25">
      <c r="A172" s="1"/>
      <c r="B172" s="37" t="s">
        <v>644</v>
      </c>
      <c r="C172" s="1"/>
      <c r="D172" s="1"/>
      <c r="E172" s="18"/>
      <c r="F172" s="32"/>
      <c r="G172" s="3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6" x14ac:dyDescent="0.25">
      <c r="A173" s="1"/>
      <c r="B173" s="21" t="s">
        <v>43</v>
      </c>
      <c r="C173" s="21" t="s">
        <v>44</v>
      </c>
      <c r="D173" s="26" t="s">
        <v>925</v>
      </c>
      <c r="E173" s="27">
        <v>15.8</v>
      </c>
      <c r="F173" s="26"/>
      <c r="G173" s="2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 x14ac:dyDescent="0.25">
      <c r="A174" s="1"/>
      <c r="B174" s="21" t="s">
        <v>172</v>
      </c>
      <c r="C174" s="21" t="s">
        <v>174</v>
      </c>
      <c r="D174" s="26" t="s">
        <v>929</v>
      </c>
      <c r="E174" s="27">
        <v>29.6</v>
      </c>
      <c r="F174" s="26"/>
      <c r="G174" s="2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 x14ac:dyDescent="0.25">
      <c r="A175" s="1"/>
      <c r="B175" s="21" t="s">
        <v>10</v>
      </c>
      <c r="C175" s="21">
        <v>15</v>
      </c>
      <c r="D175" s="26" t="s">
        <v>932</v>
      </c>
      <c r="E175" s="27">
        <v>9.6</v>
      </c>
      <c r="F175" s="26" t="s">
        <v>933</v>
      </c>
      <c r="G175" s="27">
        <v>10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 x14ac:dyDescent="0.25">
      <c r="A176" s="1"/>
      <c r="B176" s="21" t="s">
        <v>16</v>
      </c>
      <c r="C176" s="21">
        <v>20</v>
      </c>
      <c r="D176" s="26" t="s">
        <v>934</v>
      </c>
      <c r="E176" s="27">
        <v>14.5</v>
      </c>
      <c r="F176" s="26" t="s">
        <v>936</v>
      </c>
      <c r="G176" s="27">
        <v>15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 x14ac:dyDescent="0.25">
      <c r="A177" s="1"/>
      <c r="B177" s="21">
        <v>1</v>
      </c>
      <c r="C177" s="21">
        <v>25</v>
      </c>
      <c r="D177" s="26" t="s">
        <v>938</v>
      </c>
      <c r="E177" s="27">
        <v>23.8</v>
      </c>
      <c r="F177" s="26" t="s">
        <v>940</v>
      </c>
      <c r="G177" s="27">
        <v>26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 x14ac:dyDescent="0.25">
      <c r="A178" s="1"/>
      <c r="B178" s="21" t="s">
        <v>27</v>
      </c>
      <c r="C178" s="21">
        <v>32</v>
      </c>
      <c r="D178" s="26" t="s">
        <v>942</v>
      </c>
      <c r="E178" s="27">
        <v>32.6</v>
      </c>
      <c r="F178" s="26" t="s">
        <v>944</v>
      </c>
      <c r="G178" s="27">
        <v>33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6" x14ac:dyDescent="0.25">
      <c r="A179" s="1"/>
      <c r="B179" s="21" t="s">
        <v>33</v>
      </c>
      <c r="C179" s="21">
        <v>40</v>
      </c>
      <c r="D179" s="26" t="s">
        <v>946</v>
      </c>
      <c r="E179" s="27">
        <v>44.4</v>
      </c>
      <c r="F179" s="26" t="s">
        <v>948</v>
      </c>
      <c r="G179" s="27">
        <v>45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6" x14ac:dyDescent="0.25">
      <c r="A180" s="1"/>
      <c r="B180" s="21">
        <v>2</v>
      </c>
      <c r="C180" s="21">
        <v>50</v>
      </c>
      <c r="D180" s="26" t="s">
        <v>950</v>
      </c>
      <c r="E180" s="27">
        <v>62</v>
      </c>
      <c r="F180" s="26" t="s">
        <v>952</v>
      </c>
      <c r="G180" s="27">
        <v>67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 x14ac:dyDescent="0.25">
      <c r="A181" s="1"/>
      <c r="B181" s="1"/>
      <c r="C181" s="1"/>
      <c r="D181" s="1"/>
      <c r="E181" s="18"/>
      <c r="F181" s="32"/>
      <c r="G181" s="3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 x14ac:dyDescent="0.25">
      <c r="A182" s="1"/>
      <c r="B182" s="37" t="s">
        <v>644</v>
      </c>
      <c r="C182" s="1"/>
      <c r="D182" s="1"/>
      <c r="E182" s="18"/>
      <c r="F182" s="32"/>
      <c r="G182" s="3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 x14ac:dyDescent="0.25">
      <c r="A183" s="1"/>
      <c r="B183" s="21" t="s">
        <v>54</v>
      </c>
      <c r="C183" s="21">
        <v>65</v>
      </c>
      <c r="D183" s="26" t="s">
        <v>957</v>
      </c>
      <c r="E183" s="27">
        <v>106.8</v>
      </c>
      <c r="F183" s="26"/>
      <c r="G183" s="2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 x14ac:dyDescent="0.25">
      <c r="A184" s="1"/>
      <c r="B184" s="21">
        <v>3</v>
      </c>
      <c r="C184" s="21">
        <v>80</v>
      </c>
      <c r="D184" s="26" t="s">
        <v>958</v>
      </c>
      <c r="E184" s="27">
        <v>178</v>
      </c>
      <c r="F184" s="26"/>
      <c r="G184" s="2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 x14ac:dyDescent="0.25">
      <c r="A185" s="1"/>
      <c r="B185" s="21">
        <v>4</v>
      </c>
      <c r="C185" s="21">
        <v>100</v>
      </c>
      <c r="D185" s="26" t="s">
        <v>959</v>
      </c>
      <c r="E185" s="27">
        <v>299.2</v>
      </c>
      <c r="F185" s="26"/>
      <c r="G185" s="2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 x14ac:dyDescent="0.25">
      <c r="A186" s="1"/>
      <c r="B186" s="1"/>
      <c r="C186" s="1"/>
      <c r="D186" s="1"/>
      <c r="E186" s="18"/>
      <c r="F186" s="32"/>
      <c r="G186" s="3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 x14ac:dyDescent="0.25">
      <c r="A187" s="1"/>
      <c r="B187" s="37" t="s">
        <v>960</v>
      </c>
      <c r="C187" s="1"/>
      <c r="D187" s="1"/>
      <c r="E187" s="18"/>
      <c r="F187" s="32"/>
      <c r="G187" s="3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 x14ac:dyDescent="0.25">
      <c r="A188" s="1"/>
      <c r="B188" s="21" t="s">
        <v>43</v>
      </c>
      <c r="C188" s="21" t="s">
        <v>44</v>
      </c>
      <c r="D188" s="26" t="s">
        <v>961</v>
      </c>
      <c r="E188" s="27">
        <v>178</v>
      </c>
      <c r="F188" s="26" t="s">
        <v>962</v>
      </c>
      <c r="G188" s="27">
        <v>161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 x14ac:dyDescent="0.25">
      <c r="A189" s="1"/>
      <c r="B189" s="21" t="s">
        <v>10</v>
      </c>
      <c r="C189" s="21">
        <v>15</v>
      </c>
      <c r="D189" s="26" t="s">
        <v>963</v>
      </c>
      <c r="E189" s="27">
        <v>178</v>
      </c>
      <c r="F189" s="26" t="s">
        <v>964</v>
      </c>
      <c r="G189" s="27">
        <v>140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 x14ac:dyDescent="0.25">
      <c r="A190" s="1"/>
      <c r="B190" s="21" t="s">
        <v>16</v>
      </c>
      <c r="C190" s="21">
        <v>20</v>
      </c>
      <c r="D190" s="26" t="s">
        <v>965</v>
      </c>
      <c r="E190" s="27">
        <v>278</v>
      </c>
      <c r="F190" s="26" t="s">
        <v>966</v>
      </c>
      <c r="G190" s="27">
        <v>195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 x14ac:dyDescent="0.25">
      <c r="A191" s="1"/>
      <c r="B191" s="21">
        <v>1</v>
      </c>
      <c r="C191" s="21">
        <v>25</v>
      </c>
      <c r="D191" s="26" t="s">
        <v>967</v>
      </c>
      <c r="E191" s="27">
        <v>388</v>
      </c>
      <c r="F191" s="26" t="s">
        <v>968</v>
      </c>
      <c r="G191" s="27">
        <v>280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 x14ac:dyDescent="0.25">
      <c r="A192" s="1"/>
      <c r="B192" s="21" t="s">
        <v>27</v>
      </c>
      <c r="C192" s="21">
        <v>32</v>
      </c>
      <c r="D192" s="26" t="s">
        <v>969</v>
      </c>
      <c r="E192" s="27">
        <v>648</v>
      </c>
      <c r="F192" s="26" t="s">
        <v>970</v>
      </c>
      <c r="G192" s="27">
        <v>660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 x14ac:dyDescent="0.25">
      <c r="A193" s="1"/>
      <c r="B193" s="21" t="s">
        <v>33</v>
      </c>
      <c r="C193" s="21">
        <v>40</v>
      </c>
      <c r="D193" s="26" t="s">
        <v>971</v>
      </c>
      <c r="E193" s="27">
        <v>726</v>
      </c>
      <c r="F193" s="26" t="s">
        <v>972</v>
      </c>
      <c r="G193" s="27">
        <v>665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 x14ac:dyDescent="0.25">
      <c r="A194" s="1"/>
      <c r="B194" s="21">
        <v>2</v>
      </c>
      <c r="C194" s="21">
        <v>50</v>
      </c>
      <c r="D194" s="26" t="s">
        <v>973</v>
      </c>
      <c r="E194" s="27">
        <v>1320</v>
      </c>
      <c r="F194" s="26" t="s">
        <v>974</v>
      </c>
      <c r="G194" s="27">
        <v>1040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 x14ac:dyDescent="0.25">
      <c r="A195" s="1"/>
      <c r="B195" s="21" t="s">
        <v>172</v>
      </c>
      <c r="C195" s="21" t="s">
        <v>174</v>
      </c>
      <c r="D195" s="26" t="s">
        <v>975</v>
      </c>
      <c r="E195" s="27">
        <v>184</v>
      </c>
      <c r="F195" s="26" t="s">
        <v>976</v>
      </c>
      <c r="G195" s="27">
        <v>175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 x14ac:dyDescent="0.25">
      <c r="A196" s="1"/>
      <c r="B196" s="1"/>
      <c r="C196" s="1"/>
      <c r="D196" s="1"/>
      <c r="E196" s="18"/>
      <c r="F196" s="32"/>
      <c r="G196" s="3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 x14ac:dyDescent="0.25">
      <c r="A197" s="1"/>
      <c r="B197" s="37" t="s">
        <v>977</v>
      </c>
      <c r="C197" s="1"/>
      <c r="D197" s="1"/>
      <c r="E197" s="18"/>
      <c r="F197" s="32"/>
      <c r="G197" s="3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 x14ac:dyDescent="0.25">
      <c r="A198" s="1"/>
      <c r="B198" s="21" t="s">
        <v>10</v>
      </c>
      <c r="C198" s="21">
        <v>15</v>
      </c>
      <c r="D198" s="26" t="s">
        <v>978</v>
      </c>
      <c r="E198" s="27">
        <v>86</v>
      </c>
      <c r="F198" s="26" t="s">
        <v>979</v>
      </c>
      <c r="G198" s="27">
        <v>79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 x14ac:dyDescent="0.25">
      <c r="A199" s="1"/>
      <c r="B199" s="21" t="s">
        <v>16</v>
      </c>
      <c r="C199" s="21">
        <v>20</v>
      </c>
      <c r="D199" s="26" t="s">
        <v>980</v>
      </c>
      <c r="E199" s="27">
        <v>184</v>
      </c>
      <c r="F199" s="26" t="s">
        <v>981</v>
      </c>
      <c r="G199" s="27">
        <v>140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 x14ac:dyDescent="0.25">
      <c r="A200" s="1"/>
      <c r="B200" s="21">
        <v>1</v>
      </c>
      <c r="C200" s="21">
        <v>25</v>
      </c>
      <c r="D200" s="26" t="s">
        <v>982</v>
      </c>
      <c r="E200" s="27">
        <v>258</v>
      </c>
      <c r="F200" s="26" t="s">
        <v>983</v>
      </c>
      <c r="G200" s="27">
        <v>245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 x14ac:dyDescent="0.25">
      <c r="A201" s="1"/>
      <c r="B201" s="21" t="s">
        <v>27</v>
      </c>
      <c r="C201" s="21">
        <v>32</v>
      </c>
      <c r="D201" s="26" t="s">
        <v>984</v>
      </c>
      <c r="E201" s="27">
        <v>468</v>
      </c>
      <c r="F201" s="26" t="s">
        <v>985</v>
      </c>
      <c r="G201" s="27">
        <v>430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6" x14ac:dyDescent="0.25">
      <c r="A202" s="1"/>
      <c r="B202" s="21" t="s">
        <v>33</v>
      </c>
      <c r="C202" s="21">
        <v>40</v>
      </c>
      <c r="D202" s="26" t="s">
        <v>986</v>
      </c>
      <c r="E202" s="27">
        <v>764</v>
      </c>
      <c r="F202" s="26" t="s">
        <v>987</v>
      </c>
      <c r="G202" s="27">
        <v>610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 x14ac:dyDescent="0.25">
      <c r="A203" s="1"/>
      <c r="B203" s="21">
        <v>2</v>
      </c>
      <c r="C203" s="21">
        <v>50</v>
      </c>
      <c r="D203" s="26" t="s">
        <v>988</v>
      </c>
      <c r="E203" s="27">
        <v>1048</v>
      </c>
      <c r="F203" s="26" t="s">
        <v>989</v>
      </c>
      <c r="G203" s="27">
        <v>820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 x14ac:dyDescent="0.25">
      <c r="A204" s="1"/>
      <c r="B204" s="21" t="s">
        <v>43</v>
      </c>
      <c r="C204" s="21" t="s">
        <v>44</v>
      </c>
      <c r="D204" s="26" t="s">
        <v>990</v>
      </c>
      <c r="E204" s="27">
        <v>88</v>
      </c>
      <c r="F204" s="26" t="s">
        <v>991</v>
      </c>
      <c r="G204" s="27">
        <v>82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 x14ac:dyDescent="0.25">
      <c r="A205" s="1"/>
      <c r="B205" s="21" t="s">
        <v>172</v>
      </c>
      <c r="C205" s="21" t="s">
        <v>174</v>
      </c>
      <c r="D205" s="26" t="s">
        <v>992</v>
      </c>
      <c r="E205" s="27">
        <v>92</v>
      </c>
      <c r="F205" s="26" t="s">
        <v>993</v>
      </c>
      <c r="G205" s="27">
        <v>110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 x14ac:dyDescent="0.25">
      <c r="A206" s="1"/>
      <c r="B206" s="1"/>
      <c r="C206" s="1"/>
      <c r="D206" s="1"/>
      <c r="E206" s="18"/>
      <c r="F206" s="32"/>
      <c r="G206" s="3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 x14ac:dyDescent="0.25">
      <c r="A207" s="1"/>
      <c r="B207" s="37" t="s">
        <v>994</v>
      </c>
      <c r="C207" s="1"/>
      <c r="D207" s="1"/>
      <c r="E207" s="18"/>
      <c r="F207" s="32"/>
      <c r="G207" s="3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6" x14ac:dyDescent="0.25">
      <c r="A208" s="1"/>
      <c r="B208" s="21" t="s">
        <v>10</v>
      </c>
      <c r="C208" s="21">
        <v>15</v>
      </c>
      <c r="D208" s="26" t="s">
        <v>995</v>
      </c>
      <c r="E208" s="27">
        <v>27.2</v>
      </c>
      <c r="F208" s="26"/>
      <c r="G208" s="2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6" x14ac:dyDescent="0.25">
      <c r="A209" s="1"/>
      <c r="B209" s="21" t="s">
        <v>16</v>
      </c>
      <c r="C209" s="21">
        <v>20</v>
      </c>
      <c r="D209" s="26" t="s">
        <v>996</v>
      </c>
      <c r="E209" s="27">
        <v>35.4</v>
      </c>
      <c r="F209" s="26"/>
      <c r="G209" s="2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 x14ac:dyDescent="0.25">
      <c r="A210" s="1"/>
      <c r="B210" s="21" t="s">
        <v>21</v>
      </c>
      <c r="C210" s="21">
        <v>25</v>
      </c>
      <c r="D210" s="26" t="s">
        <v>997</v>
      </c>
      <c r="E210" s="27">
        <v>59.8</v>
      </c>
      <c r="F210" s="26"/>
      <c r="G210" s="2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 x14ac:dyDescent="0.25">
      <c r="A211" s="1"/>
      <c r="B211" s="21" t="s">
        <v>27</v>
      </c>
      <c r="C211" s="21">
        <v>32</v>
      </c>
      <c r="D211" s="26" t="s">
        <v>998</v>
      </c>
      <c r="E211" s="27">
        <v>96.8</v>
      </c>
      <c r="F211" s="26"/>
      <c r="G211" s="2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 x14ac:dyDescent="0.25">
      <c r="A212" s="1"/>
      <c r="B212" s="1"/>
      <c r="C212" s="1"/>
      <c r="D212" s="1"/>
      <c r="E212" s="18"/>
      <c r="F212" s="32"/>
      <c r="G212" s="3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 x14ac:dyDescent="0.25">
      <c r="A213" s="1"/>
      <c r="B213" s="37" t="s">
        <v>999</v>
      </c>
      <c r="C213" s="1"/>
      <c r="D213" s="1"/>
      <c r="E213" s="18"/>
      <c r="F213" s="32"/>
      <c r="G213" s="3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 x14ac:dyDescent="0.25">
      <c r="A214" s="1"/>
      <c r="B214" s="21" t="s">
        <v>10</v>
      </c>
      <c r="C214" s="21">
        <v>15</v>
      </c>
      <c r="D214" s="26" t="s">
        <v>1000</v>
      </c>
      <c r="E214" s="27">
        <v>78</v>
      </c>
      <c r="F214" s="26"/>
      <c r="G214" s="2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 x14ac:dyDescent="0.25">
      <c r="A215" s="1"/>
      <c r="B215" s="21" t="s">
        <v>16</v>
      </c>
      <c r="C215" s="21">
        <v>20</v>
      </c>
      <c r="D215" s="26" t="s">
        <v>1001</v>
      </c>
      <c r="E215" s="27">
        <v>120</v>
      </c>
      <c r="F215" s="26"/>
      <c r="G215" s="2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 x14ac:dyDescent="0.25">
      <c r="A216" s="1"/>
      <c r="B216" s="21">
        <v>1</v>
      </c>
      <c r="C216" s="21">
        <v>25</v>
      </c>
      <c r="D216" s="26" t="s">
        <v>1002</v>
      </c>
      <c r="E216" s="27">
        <v>224</v>
      </c>
      <c r="F216" s="26"/>
      <c r="G216" s="2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 x14ac:dyDescent="0.25">
      <c r="A217" s="1"/>
      <c r="B217" s="21" t="s">
        <v>27</v>
      </c>
      <c r="C217" s="21">
        <v>32</v>
      </c>
      <c r="D217" s="26" t="s">
        <v>1003</v>
      </c>
      <c r="E217" s="27">
        <v>296</v>
      </c>
      <c r="F217" s="26"/>
      <c r="G217" s="2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 x14ac:dyDescent="0.25">
      <c r="A218" s="1"/>
      <c r="B218" s="21" t="s">
        <v>33</v>
      </c>
      <c r="C218" s="21">
        <v>40</v>
      </c>
      <c r="D218" s="26" t="s">
        <v>1004</v>
      </c>
      <c r="E218" s="27">
        <v>438</v>
      </c>
      <c r="F218" s="26"/>
      <c r="G218" s="2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 x14ac:dyDescent="0.25">
      <c r="A219" s="1"/>
      <c r="B219" s="21">
        <v>2</v>
      </c>
      <c r="C219" s="21">
        <v>50</v>
      </c>
      <c r="D219" s="26" t="s">
        <v>1005</v>
      </c>
      <c r="E219" s="27">
        <v>668</v>
      </c>
      <c r="F219" s="26"/>
      <c r="G219" s="2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 x14ac:dyDescent="0.25">
      <c r="A220" s="1"/>
      <c r="B220" s="1"/>
      <c r="C220" s="1"/>
      <c r="D220" s="1"/>
      <c r="E220" s="18"/>
      <c r="F220" s="32"/>
      <c r="G220" s="3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 x14ac:dyDescent="0.25">
      <c r="A221" s="1"/>
      <c r="B221" s="37" t="s">
        <v>1006</v>
      </c>
      <c r="C221" s="1"/>
      <c r="D221" s="1"/>
      <c r="E221" s="18"/>
      <c r="F221" s="32"/>
      <c r="G221" s="3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 x14ac:dyDescent="0.25">
      <c r="A222" s="1"/>
      <c r="B222" s="21" t="s">
        <v>10</v>
      </c>
      <c r="C222" s="21">
        <v>15</v>
      </c>
      <c r="D222" s="26" t="s">
        <v>1007</v>
      </c>
      <c r="E222" s="27">
        <v>84</v>
      </c>
      <c r="F222" s="26"/>
      <c r="G222" s="2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 x14ac:dyDescent="0.25">
      <c r="A223" s="1"/>
      <c r="B223" s="21" t="s">
        <v>16</v>
      </c>
      <c r="C223" s="21">
        <v>20</v>
      </c>
      <c r="D223" s="26" t="s">
        <v>1008</v>
      </c>
      <c r="E223" s="27">
        <v>130</v>
      </c>
      <c r="F223" s="26"/>
      <c r="G223" s="2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 x14ac:dyDescent="0.25">
      <c r="A224" s="1"/>
      <c r="B224" s="21">
        <v>1</v>
      </c>
      <c r="C224" s="21">
        <v>25</v>
      </c>
      <c r="D224" s="26" t="s">
        <v>1009</v>
      </c>
      <c r="E224" s="27">
        <v>236</v>
      </c>
      <c r="F224" s="26"/>
      <c r="G224" s="2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 x14ac:dyDescent="0.25">
      <c r="A225" s="1"/>
      <c r="B225" s="21" t="s">
        <v>27</v>
      </c>
      <c r="C225" s="21">
        <v>32</v>
      </c>
      <c r="D225" s="26" t="s">
        <v>1010</v>
      </c>
      <c r="E225" s="27">
        <v>308</v>
      </c>
      <c r="F225" s="26"/>
      <c r="G225" s="2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 x14ac:dyDescent="0.25">
      <c r="A226" s="1"/>
      <c r="B226" s="21" t="s">
        <v>33</v>
      </c>
      <c r="C226" s="21">
        <v>40</v>
      </c>
      <c r="D226" s="26" t="s">
        <v>1011</v>
      </c>
      <c r="E226" s="27">
        <v>454</v>
      </c>
      <c r="F226" s="26"/>
      <c r="G226" s="2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 x14ac:dyDescent="0.25">
      <c r="A227" s="1"/>
      <c r="B227" s="21">
        <v>2</v>
      </c>
      <c r="C227" s="21">
        <v>50</v>
      </c>
      <c r="D227" s="26" t="s">
        <v>1012</v>
      </c>
      <c r="E227" s="27">
        <v>684</v>
      </c>
      <c r="F227" s="26"/>
      <c r="G227" s="2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 x14ac:dyDescent="0.25">
      <c r="A228" s="1"/>
      <c r="B228" s="1"/>
      <c r="C228" s="1"/>
      <c r="D228" s="1"/>
      <c r="E228" s="18"/>
      <c r="F228" s="32"/>
      <c r="G228" s="3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 x14ac:dyDescent="0.25">
      <c r="A229" s="1"/>
      <c r="B229" s="37" t="s">
        <v>1013</v>
      </c>
      <c r="C229" s="1"/>
      <c r="D229" s="1"/>
      <c r="E229" s="18"/>
      <c r="F229" s="32"/>
      <c r="G229" s="3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6" x14ac:dyDescent="0.25">
      <c r="A230" s="1"/>
      <c r="B230" s="21" t="s">
        <v>10</v>
      </c>
      <c r="C230" s="21">
        <v>15</v>
      </c>
      <c r="D230" s="26" t="s">
        <v>1014</v>
      </c>
      <c r="E230" s="27">
        <v>78</v>
      </c>
      <c r="F230" s="26"/>
      <c r="G230" s="2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6" x14ac:dyDescent="0.25">
      <c r="A231" s="1"/>
      <c r="B231" s="21" t="s">
        <v>16</v>
      </c>
      <c r="C231" s="21">
        <v>20</v>
      </c>
      <c r="D231" s="26" t="s">
        <v>1015</v>
      </c>
      <c r="E231" s="27">
        <v>120</v>
      </c>
      <c r="F231" s="26"/>
      <c r="G231" s="2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6" x14ac:dyDescent="0.25">
      <c r="A232" s="1"/>
      <c r="B232" s="21">
        <v>1</v>
      </c>
      <c r="C232" s="21">
        <v>25</v>
      </c>
      <c r="D232" s="26" t="s">
        <v>1016</v>
      </c>
      <c r="E232" s="27">
        <v>224</v>
      </c>
      <c r="F232" s="26"/>
      <c r="G232" s="2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6" x14ac:dyDescent="0.25">
      <c r="A233" s="1"/>
      <c r="B233" s="21" t="s">
        <v>27</v>
      </c>
      <c r="C233" s="21">
        <v>32</v>
      </c>
      <c r="D233" s="26" t="s">
        <v>1017</v>
      </c>
      <c r="E233" s="27">
        <v>296</v>
      </c>
      <c r="F233" s="26"/>
      <c r="G233" s="2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6" x14ac:dyDescent="0.25">
      <c r="A234" s="1"/>
      <c r="B234" s="21" t="s">
        <v>33</v>
      </c>
      <c r="C234" s="21">
        <v>40</v>
      </c>
      <c r="D234" s="26" t="s">
        <v>1018</v>
      </c>
      <c r="E234" s="27">
        <v>438</v>
      </c>
      <c r="F234" s="26"/>
      <c r="G234" s="2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6" x14ac:dyDescent="0.25">
      <c r="A235" s="1"/>
      <c r="B235" s="21">
        <v>2</v>
      </c>
      <c r="C235" s="21">
        <v>50</v>
      </c>
      <c r="D235" s="26" t="s">
        <v>1019</v>
      </c>
      <c r="E235" s="27">
        <v>668</v>
      </c>
      <c r="F235" s="26"/>
      <c r="G235" s="2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6" x14ac:dyDescent="0.25">
      <c r="A236" s="1"/>
      <c r="B236" s="1"/>
      <c r="C236" s="1"/>
      <c r="D236" s="1"/>
      <c r="E236" s="18"/>
      <c r="F236" s="32"/>
      <c r="G236" s="3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6" x14ac:dyDescent="0.25">
      <c r="A237" s="1"/>
      <c r="B237" s="37" t="s">
        <v>999</v>
      </c>
      <c r="C237" s="1"/>
      <c r="D237" s="1"/>
      <c r="E237" s="18"/>
      <c r="F237" s="32"/>
      <c r="G237" s="3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6" x14ac:dyDescent="0.25">
      <c r="A238" s="1"/>
      <c r="B238" s="21" t="s">
        <v>16</v>
      </c>
      <c r="C238" s="21">
        <v>20</v>
      </c>
      <c r="D238" s="26" t="s">
        <v>1020</v>
      </c>
      <c r="E238" s="27">
        <v>132</v>
      </c>
      <c r="F238" s="26"/>
      <c r="G238" s="2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6" x14ac:dyDescent="0.25">
      <c r="A239" s="1"/>
      <c r="B239" s="21">
        <v>1</v>
      </c>
      <c r="C239" s="21">
        <v>25</v>
      </c>
      <c r="D239" s="26" t="s">
        <v>1021</v>
      </c>
      <c r="E239" s="27">
        <v>234</v>
      </c>
      <c r="F239" s="26"/>
      <c r="G239" s="2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6" x14ac:dyDescent="0.25">
      <c r="A240" s="1"/>
      <c r="B240" s="21" t="s">
        <v>27</v>
      </c>
      <c r="C240" s="21">
        <v>32</v>
      </c>
      <c r="D240" s="26" t="s">
        <v>1022</v>
      </c>
      <c r="E240" s="27">
        <v>308</v>
      </c>
      <c r="F240" s="26"/>
      <c r="G240" s="2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6" x14ac:dyDescent="0.25">
      <c r="A241" s="1"/>
      <c r="B241" s="21" t="s">
        <v>33</v>
      </c>
      <c r="C241" s="21">
        <v>40</v>
      </c>
      <c r="D241" s="26" t="s">
        <v>1023</v>
      </c>
      <c r="E241" s="27">
        <v>454</v>
      </c>
      <c r="F241" s="26"/>
      <c r="G241" s="2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6" x14ac:dyDescent="0.25">
      <c r="A242" s="1"/>
      <c r="B242" s="21">
        <v>2</v>
      </c>
      <c r="C242" s="21">
        <v>50</v>
      </c>
      <c r="D242" s="26" t="s">
        <v>1024</v>
      </c>
      <c r="E242" s="27">
        <v>684</v>
      </c>
      <c r="F242" s="26"/>
      <c r="G242" s="2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6" x14ac:dyDescent="0.25">
      <c r="A243" s="1"/>
      <c r="B243" s="1"/>
      <c r="C243" s="1"/>
      <c r="D243" s="1"/>
      <c r="E243" s="18"/>
      <c r="F243" s="32"/>
      <c r="G243" s="3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6" x14ac:dyDescent="0.25">
      <c r="A244" s="1"/>
      <c r="B244" s="37" t="s">
        <v>1013</v>
      </c>
      <c r="C244" s="1"/>
      <c r="D244" s="1"/>
      <c r="E244" s="18"/>
      <c r="F244" s="32"/>
      <c r="G244" s="3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6" x14ac:dyDescent="0.25">
      <c r="A245" s="1"/>
      <c r="B245" s="21" t="s">
        <v>16</v>
      </c>
      <c r="C245" s="21">
        <v>20</v>
      </c>
      <c r="D245" s="26" t="s">
        <v>1025</v>
      </c>
      <c r="E245" s="27">
        <v>132</v>
      </c>
      <c r="F245" s="26"/>
      <c r="G245" s="2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6" x14ac:dyDescent="0.25">
      <c r="A246" s="1"/>
      <c r="B246" s="21">
        <v>1</v>
      </c>
      <c r="C246" s="21">
        <v>25</v>
      </c>
      <c r="D246" s="26" t="s">
        <v>1026</v>
      </c>
      <c r="E246" s="27">
        <v>234</v>
      </c>
      <c r="F246" s="26"/>
      <c r="G246" s="2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6" x14ac:dyDescent="0.25">
      <c r="A247" s="1"/>
      <c r="B247" s="21" t="s">
        <v>27</v>
      </c>
      <c r="C247" s="21">
        <v>32</v>
      </c>
      <c r="D247" s="26" t="s">
        <v>1027</v>
      </c>
      <c r="E247" s="27">
        <v>308</v>
      </c>
      <c r="F247" s="26"/>
      <c r="G247" s="2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6" x14ac:dyDescent="0.25">
      <c r="A248" s="1"/>
      <c r="B248" s="21" t="s">
        <v>33</v>
      </c>
      <c r="C248" s="21">
        <v>40</v>
      </c>
      <c r="D248" s="26" t="s">
        <v>1028</v>
      </c>
      <c r="E248" s="27">
        <v>454</v>
      </c>
      <c r="F248" s="26"/>
      <c r="G248" s="2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6" x14ac:dyDescent="0.25">
      <c r="A249" s="1"/>
      <c r="B249" s="21">
        <v>2</v>
      </c>
      <c r="C249" s="21">
        <v>50</v>
      </c>
      <c r="D249" s="26" t="s">
        <v>1029</v>
      </c>
      <c r="E249" s="27">
        <v>684</v>
      </c>
      <c r="F249" s="26"/>
      <c r="G249" s="2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6" x14ac:dyDescent="0.25">
      <c r="A250" s="1"/>
      <c r="B250" s="1"/>
      <c r="C250" s="1"/>
      <c r="D250" s="1"/>
      <c r="E250" s="18"/>
      <c r="F250" s="32"/>
      <c r="G250" s="3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6" x14ac:dyDescent="0.25">
      <c r="A251" s="1"/>
      <c r="B251" s="37" t="s">
        <v>1030</v>
      </c>
      <c r="C251" s="1"/>
      <c r="D251" s="1"/>
      <c r="E251" s="18"/>
      <c r="F251" s="32"/>
      <c r="G251" s="3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6" x14ac:dyDescent="0.25">
      <c r="A252" s="1"/>
      <c r="B252" s="21" t="s">
        <v>16</v>
      </c>
      <c r="C252" s="21">
        <v>20</v>
      </c>
      <c r="D252" s="26" t="s">
        <v>1031</v>
      </c>
      <c r="E252" s="27">
        <v>46</v>
      </c>
      <c r="F252" s="26"/>
      <c r="G252" s="2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6" x14ac:dyDescent="0.25">
      <c r="A253" s="1"/>
      <c r="B253" s="21">
        <v>1</v>
      </c>
      <c r="C253" s="21">
        <v>25</v>
      </c>
      <c r="D253" s="26" t="s">
        <v>1032</v>
      </c>
      <c r="E253" s="27">
        <v>52</v>
      </c>
      <c r="F253" s="26"/>
      <c r="G253" s="2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6" x14ac:dyDescent="0.25">
      <c r="A254" s="1"/>
      <c r="B254" s="21" t="s">
        <v>27</v>
      </c>
      <c r="C254" s="21">
        <v>32</v>
      </c>
      <c r="D254" s="26" t="s">
        <v>1033</v>
      </c>
      <c r="E254" s="27">
        <v>68</v>
      </c>
      <c r="F254" s="26"/>
      <c r="G254" s="2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6" x14ac:dyDescent="0.25">
      <c r="A255" s="1"/>
      <c r="B255" s="21" t="s">
        <v>33</v>
      </c>
      <c r="C255" s="21">
        <v>40</v>
      </c>
      <c r="D255" s="26" t="s">
        <v>1034</v>
      </c>
      <c r="E255" s="27">
        <v>82</v>
      </c>
      <c r="F255" s="26"/>
      <c r="G255" s="2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6" x14ac:dyDescent="0.25">
      <c r="A256" s="1"/>
      <c r="B256" s="21">
        <v>2</v>
      </c>
      <c r="C256" s="21">
        <v>50</v>
      </c>
      <c r="D256" s="26" t="s">
        <v>1035</v>
      </c>
      <c r="E256" s="27">
        <v>124</v>
      </c>
      <c r="F256" s="26"/>
      <c r="G256" s="2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6" x14ac:dyDescent="0.25">
      <c r="A258" s="1"/>
      <c r="B258" s="37" t="s">
        <v>1036</v>
      </c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6" x14ac:dyDescent="0.25">
      <c r="A259" s="1"/>
      <c r="B259" s="21" t="s">
        <v>16</v>
      </c>
      <c r="C259" s="21">
        <v>20</v>
      </c>
      <c r="D259" s="26" t="s">
        <v>1037</v>
      </c>
      <c r="E259" s="27">
        <v>43.7</v>
      </c>
      <c r="F259" s="26" t="s">
        <v>1038</v>
      </c>
      <c r="G259" s="27">
        <v>36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6" x14ac:dyDescent="0.25">
      <c r="A260" s="1"/>
      <c r="B260" s="21" t="s">
        <v>21</v>
      </c>
      <c r="C260" s="21">
        <v>25</v>
      </c>
      <c r="D260" s="26" t="s">
        <v>1039</v>
      </c>
      <c r="E260" s="27">
        <v>49.4</v>
      </c>
      <c r="F260" s="26" t="s">
        <v>1040</v>
      </c>
      <c r="G260" s="27">
        <v>48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6" x14ac:dyDescent="0.25">
      <c r="A261" s="1"/>
      <c r="B261" s="21" t="s">
        <v>27</v>
      </c>
      <c r="C261" s="21">
        <v>32</v>
      </c>
      <c r="D261" s="26" t="s">
        <v>1041</v>
      </c>
      <c r="E261" s="27">
        <v>70.3</v>
      </c>
      <c r="F261" s="26" t="s">
        <v>1042</v>
      </c>
      <c r="G261" s="27">
        <v>75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6" x14ac:dyDescent="0.25">
      <c r="A262" s="1"/>
      <c r="B262" s="21" t="s">
        <v>33</v>
      </c>
      <c r="C262" s="21">
        <v>40</v>
      </c>
      <c r="D262" s="26" t="s">
        <v>1043</v>
      </c>
      <c r="E262" s="27">
        <v>93.1</v>
      </c>
      <c r="F262" s="26" t="s">
        <v>1044</v>
      </c>
      <c r="G262" s="27">
        <v>102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6" x14ac:dyDescent="0.25">
      <c r="A263" s="1"/>
      <c r="B263" s="21" t="s">
        <v>38</v>
      </c>
      <c r="C263" s="21">
        <v>50</v>
      </c>
      <c r="D263" s="26" t="s">
        <v>1045</v>
      </c>
      <c r="E263" s="27">
        <v>131.1</v>
      </c>
      <c r="F263" s="26" t="s">
        <v>1046</v>
      </c>
      <c r="G263" s="27">
        <v>144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6" x14ac:dyDescent="0.25">
      <c r="A264" s="1"/>
      <c r="B264" s="21" t="s">
        <v>54</v>
      </c>
      <c r="C264" s="21">
        <v>65</v>
      </c>
      <c r="D264" s="26" t="s">
        <v>1047</v>
      </c>
      <c r="E264" s="27">
        <v>393.3</v>
      </c>
      <c r="F264" s="26"/>
      <c r="G264" s="2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6" x14ac:dyDescent="0.25">
      <c r="A265" s="1"/>
      <c r="B265" s="21">
        <v>3</v>
      </c>
      <c r="C265" s="21">
        <v>80</v>
      </c>
      <c r="D265" s="26" t="s">
        <v>1048</v>
      </c>
      <c r="E265" s="27">
        <v>663.1</v>
      </c>
      <c r="F265" s="26"/>
      <c r="G265" s="2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6" x14ac:dyDescent="0.25">
      <c r="A266" s="1"/>
      <c r="B266" s="21">
        <v>4</v>
      </c>
      <c r="C266" s="21">
        <v>100</v>
      </c>
      <c r="D266" s="26" t="s">
        <v>1049</v>
      </c>
      <c r="E266" s="27">
        <v>1198</v>
      </c>
      <c r="F266" s="26"/>
      <c r="G266" s="2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6" x14ac:dyDescent="0.25">
      <c r="A267" s="1"/>
      <c r="B267" s="1"/>
      <c r="C267" s="1"/>
      <c r="D267" s="1"/>
      <c r="E267" s="18"/>
      <c r="F267" s="32"/>
      <c r="G267" s="3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6" x14ac:dyDescent="0.25">
      <c r="A268" s="1"/>
      <c r="B268" s="37" t="s">
        <v>1050</v>
      </c>
      <c r="C268" s="1"/>
      <c r="D268" s="1"/>
      <c r="E268" s="18"/>
      <c r="F268" s="32"/>
      <c r="G268" s="3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6" x14ac:dyDescent="0.25">
      <c r="A269" s="1"/>
      <c r="B269" s="21" t="s">
        <v>771</v>
      </c>
      <c r="C269" s="21" t="s">
        <v>772</v>
      </c>
      <c r="D269" s="26" t="s">
        <v>1051</v>
      </c>
      <c r="E269" s="27">
        <v>98</v>
      </c>
      <c r="F269" s="26"/>
      <c r="G269" s="2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6" x14ac:dyDescent="0.25">
      <c r="A270" s="1"/>
      <c r="B270" s="21" t="s">
        <v>260</v>
      </c>
      <c r="C270" s="21" t="s">
        <v>263</v>
      </c>
      <c r="D270" s="26" t="s">
        <v>1052</v>
      </c>
      <c r="E270" s="27">
        <v>112</v>
      </c>
      <c r="F270" s="26"/>
      <c r="G270" s="2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6" x14ac:dyDescent="0.25">
      <c r="A271" s="1"/>
      <c r="B271" s="21" t="s">
        <v>466</v>
      </c>
      <c r="C271" s="21" t="s">
        <v>467</v>
      </c>
      <c r="D271" s="26" t="s">
        <v>1053</v>
      </c>
      <c r="E271" s="27">
        <v>138</v>
      </c>
      <c r="F271" s="26"/>
      <c r="G271" s="2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6" x14ac:dyDescent="0.25">
      <c r="A272" s="1"/>
      <c r="B272" s="21" t="s">
        <v>274</v>
      </c>
      <c r="C272" s="21" t="s">
        <v>276</v>
      </c>
      <c r="D272" s="26" t="s">
        <v>1054</v>
      </c>
      <c r="E272" s="27">
        <v>214</v>
      </c>
      <c r="F272" s="26"/>
      <c r="G272" s="2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6" x14ac:dyDescent="0.25">
      <c r="A273" s="1"/>
      <c r="B273" s="1"/>
      <c r="C273" s="1"/>
      <c r="D273" s="1"/>
      <c r="E273" s="18"/>
      <c r="F273" s="32"/>
      <c r="G273" s="3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6" x14ac:dyDescent="0.25">
      <c r="A274" s="1"/>
      <c r="B274" s="37" t="s">
        <v>1055</v>
      </c>
      <c r="C274" s="1"/>
      <c r="D274" s="1"/>
      <c r="E274" s="18"/>
      <c r="F274" s="32"/>
      <c r="G274" s="3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6" x14ac:dyDescent="0.25">
      <c r="A275" s="1"/>
      <c r="B275" s="21" t="s">
        <v>10</v>
      </c>
      <c r="C275" s="21">
        <v>15</v>
      </c>
      <c r="D275" s="26" t="s">
        <v>1056</v>
      </c>
      <c r="E275" s="27">
        <v>34</v>
      </c>
      <c r="F275" s="26" t="s">
        <v>1057</v>
      </c>
      <c r="G275" s="27">
        <v>45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6" x14ac:dyDescent="0.25">
      <c r="A276" s="1"/>
      <c r="B276" s="21" t="s">
        <v>16</v>
      </c>
      <c r="C276" s="21">
        <v>20</v>
      </c>
      <c r="D276" s="26" t="s">
        <v>1058</v>
      </c>
      <c r="E276" s="27">
        <v>58</v>
      </c>
      <c r="F276" s="26" t="s">
        <v>1059</v>
      </c>
      <c r="G276" s="27">
        <v>70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6" x14ac:dyDescent="0.25">
      <c r="A277" s="1"/>
      <c r="B277" s="21">
        <v>1</v>
      </c>
      <c r="C277" s="21">
        <v>25</v>
      </c>
      <c r="D277" s="26" t="s">
        <v>1060</v>
      </c>
      <c r="E277" s="27">
        <v>114</v>
      </c>
      <c r="F277" s="26" t="s">
        <v>1061</v>
      </c>
      <c r="G277" s="27">
        <v>98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6" x14ac:dyDescent="0.25">
      <c r="A278" s="1"/>
      <c r="B278" s="21" t="s">
        <v>27</v>
      </c>
      <c r="C278" s="21">
        <v>32</v>
      </c>
      <c r="D278" s="26" t="s">
        <v>1062</v>
      </c>
      <c r="E278" s="27">
        <v>148</v>
      </c>
      <c r="F278" s="26" t="s">
        <v>1063</v>
      </c>
      <c r="G278" s="27">
        <v>155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6" x14ac:dyDescent="0.25">
      <c r="A279" s="1"/>
      <c r="B279" s="21" t="s">
        <v>33</v>
      </c>
      <c r="C279" s="21">
        <v>40</v>
      </c>
      <c r="D279" s="26" t="s">
        <v>1064</v>
      </c>
      <c r="E279" s="27">
        <v>258</v>
      </c>
      <c r="F279" s="26"/>
      <c r="G279" s="2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6" x14ac:dyDescent="0.25">
      <c r="A280" s="1"/>
      <c r="B280" s="1"/>
      <c r="C280" s="1"/>
      <c r="D280" s="1"/>
      <c r="E280" s="18"/>
      <c r="F280" s="32"/>
      <c r="G280" s="3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6" x14ac:dyDescent="0.25">
      <c r="A281" s="1"/>
      <c r="B281" s="37" t="s">
        <v>833</v>
      </c>
      <c r="C281" s="1"/>
      <c r="D281" s="1"/>
      <c r="E281" s="18"/>
      <c r="F281" s="32"/>
      <c r="G281" s="3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6" x14ac:dyDescent="0.25">
      <c r="A282" s="1"/>
      <c r="B282" s="21" t="s">
        <v>54</v>
      </c>
      <c r="C282" s="21">
        <v>65</v>
      </c>
      <c r="D282" s="26" t="s">
        <v>1065</v>
      </c>
      <c r="E282" s="27">
        <v>228</v>
      </c>
      <c r="F282" s="26"/>
      <c r="G282" s="2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6" x14ac:dyDescent="0.25">
      <c r="A283" s="1"/>
      <c r="B283" s="21">
        <v>3</v>
      </c>
      <c r="C283" s="21">
        <v>80</v>
      </c>
      <c r="D283" s="26" t="s">
        <v>1066</v>
      </c>
      <c r="E283" s="27">
        <v>378</v>
      </c>
      <c r="F283" s="26"/>
      <c r="G283" s="2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6" x14ac:dyDescent="0.25">
      <c r="A284" s="1"/>
      <c r="B284" s="21">
        <v>4</v>
      </c>
      <c r="C284" s="21">
        <v>100</v>
      </c>
      <c r="D284" s="26" t="s">
        <v>1067</v>
      </c>
      <c r="E284" s="27">
        <v>668</v>
      </c>
      <c r="F284" s="26"/>
      <c r="G284" s="2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6" x14ac:dyDescent="0.25">
      <c r="A285" s="1"/>
      <c r="B285" s="1"/>
      <c r="C285" s="1"/>
      <c r="D285" s="1"/>
      <c r="E285" s="18"/>
      <c r="F285" s="32"/>
      <c r="G285" s="3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6" x14ac:dyDescent="0.25">
      <c r="A286" s="1"/>
      <c r="B286" s="37" t="s">
        <v>1068</v>
      </c>
      <c r="C286" s="1"/>
      <c r="D286" s="1"/>
      <c r="E286" s="18"/>
      <c r="F286" s="32"/>
      <c r="G286" s="3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6" x14ac:dyDescent="0.25">
      <c r="A287" s="1"/>
      <c r="B287" s="21" t="s">
        <v>10</v>
      </c>
      <c r="C287" s="21">
        <v>15</v>
      </c>
      <c r="D287" s="26" t="s">
        <v>1069</v>
      </c>
      <c r="E287" s="27">
        <v>12.4</v>
      </c>
      <c r="F287" s="26"/>
      <c r="G287" s="2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6" x14ac:dyDescent="0.25">
      <c r="A288" s="1"/>
      <c r="B288" s="21" t="s">
        <v>16</v>
      </c>
      <c r="C288" s="21">
        <v>20</v>
      </c>
      <c r="D288" s="26" t="s">
        <v>1070</v>
      </c>
      <c r="E288" s="27">
        <v>17.899999999999999</v>
      </c>
      <c r="F288" s="26"/>
      <c r="G288" s="2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6" x14ac:dyDescent="0.25">
      <c r="A289" s="1"/>
      <c r="B289" s="21">
        <v>1</v>
      </c>
      <c r="C289" s="21">
        <v>25</v>
      </c>
      <c r="D289" s="26" t="s">
        <v>1071</v>
      </c>
      <c r="E289" s="27">
        <v>33.5</v>
      </c>
      <c r="F289" s="26"/>
      <c r="G289" s="2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6" x14ac:dyDescent="0.25">
      <c r="A290" s="1"/>
      <c r="B290" s="1"/>
      <c r="C290" s="1"/>
      <c r="D290" s="1"/>
      <c r="E290" s="18"/>
      <c r="F290" s="32"/>
      <c r="G290" s="3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6" x14ac:dyDescent="0.25">
      <c r="A291" s="1"/>
      <c r="B291" s="37" t="s">
        <v>1072</v>
      </c>
      <c r="C291" s="1"/>
      <c r="D291" s="1"/>
      <c r="E291" s="18"/>
      <c r="F291" s="32"/>
      <c r="G291" s="3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6" x14ac:dyDescent="0.25">
      <c r="A292" s="1"/>
      <c r="B292" s="21" t="s">
        <v>10</v>
      </c>
      <c r="C292" s="21">
        <v>15</v>
      </c>
      <c r="D292" s="26" t="s">
        <v>1073</v>
      </c>
      <c r="E292" s="27">
        <v>14.9</v>
      </c>
      <c r="F292" s="26"/>
      <c r="G292" s="2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6" x14ac:dyDescent="0.25">
      <c r="A293" s="1"/>
      <c r="B293" s="21" t="s">
        <v>16</v>
      </c>
      <c r="C293" s="21">
        <v>20</v>
      </c>
      <c r="D293" s="26" t="s">
        <v>1074</v>
      </c>
      <c r="E293" s="27">
        <v>16.600000000000001</v>
      </c>
      <c r="F293" s="26"/>
      <c r="G293" s="2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6" x14ac:dyDescent="0.25">
      <c r="A294" s="1"/>
      <c r="B294" s="21">
        <v>1</v>
      </c>
      <c r="C294" s="21">
        <v>25</v>
      </c>
      <c r="D294" s="26" t="s">
        <v>1075</v>
      </c>
      <c r="E294" s="27">
        <v>17.899999999999999</v>
      </c>
      <c r="F294" s="26"/>
      <c r="G294" s="2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6" x14ac:dyDescent="0.25">
      <c r="A295" s="1"/>
      <c r="B295" s="21" t="s">
        <v>27</v>
      </c>
      <c r="C295" s="21">
        <v>32</v>
      </c>
      <c r="D295" s="26" t="s">
        <v>1076</v>
      </c>
      <c r="E295" s="27">
        <v>22.8</v>
      </c>
      <c r="F295" s="26"/>
      <c r="G295" s="2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6" x14ac:dyDescent="0.25">
      <c r="A296" s="1"/>
      <c r="B296" s="21" t="s">
        <v>33</v>
      </c>
      <c r="C296" s="21">
        <v>40</v>
      </c>
      <c r="D296" s="26" t="s">
        <v>1077</v>
      </c>
      <c r="E296" s="27">
        <v>24.8</v>
      </c>
      <c r="F296" s="26"/>
      <c r="G296" s="2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6" x14ac:dyDescent="0.25">
      <c r="A297" s="1"/>
      <c r="B297" s="21">
        <v>2</v>
      </c>
      <c r="C297" s="21">
        <v>50</v>
      </c>
      <c r="D297" s="26" t="s">
        <v>1078</v>
      </c>
      <c r="E297" s="27">
        <v>28.8</v>
      </c>
      <c r="F297" s="26"/>
      <c r="G297" s="2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6" x14ac:dyDescent="0.25">
      <c r="A298" s="1"/>
      <c r="B298" s="1"/>
      <c r="C298" s="1"/>
      <c r="D298" s="1"/>
      <c r="E298" s="18"/>
      <c r="F298" s="32"/>
      <c r="G298" s="3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6" x14ac:dyDescent="0.25">
      <c r="A299" s="1"/>
      <c r="B299" s="37" t="s">
        <v>1079</v>
      </c>
      <c r="C299" s="1"/>
      <c r="D299" s="1"/>
      <c r="E299" s="18"/>
      <c r="F299" s="32"/>
      <c r="G299" s="3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6" x14ac:dyDescent="0.25">
      <c r="A300" s="1"/>
      <c r="B300" s="21" t="s">
        <v>10</v>
      </c>
      <c r="C300" s="21">
        <v>15</v>
      </c>
      <c r="D300" s="26" t="s">
        <v>1080</v>
      </c>
      <c r="E300" s="27">
        <v>14.8</v>
      </c>
      <c r="F300" s="26"/>
      <c r="G300" s="2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6" x14ac:dyDescent="0.25">
      <c r="A301" s="1"/>
      <c r="B301" s="21" t="s">
        <v>16</v>
      </c>
      <c r="C301" s="21">
        <v>20</v>
      </c>
      <c r="D301" s="26" t="s">
        <v>1081</v>
      </c>
      <c r="E301" s="27">
        <v>12.9</v>
      </c>
      <c r="F301" s="26"/>
      <c r="G301" s="2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6" x14ac:dyDescent="0.25">
      <c r="A302" s="1"/>
      <c r="B302" s="21">
        <v>1</v>
      </c>
      <c r="C302" s="21">
        <v>25</v>
      </c>
      <c r="D302" s="26" t="s">
        <v>1082</v>
      </c>
      <c r="E302" s="27">
        <v>14.9</v>
      </c>
      <c r="F302" s="26"/>
      <c r="G302" s="2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6" x14ac:dyDescent="0.25">
      <c r="A303" s="1"/>
      <c r="B303" s="21" t="s">
        <v>27</v>
      </c>
      <c r="C303" s="21">
        <v>32</v>
      </c>
      <c r="D303" s="26" t="s">
        <v>1083</v>
      </c>
      <c r="E303" s="27">
        <v>22.9</v>
      </c>
      <c r="F303" s="26"/>
      <c r="G303" s="2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6" x14ac:dyDescent="0.25">
      <c r="A304" s="1"/>
      <c r="B304" s="21" t="s">
        <v>33</v>
      </c>
      <c r="C304" s="21">
        <v>40</v>
      </c>
      <c r="D304" s="26" t="s">
        <v>1084</v>
      </c>
      <c r="E304" s="27">
        <v>25.9</v>
      </c>
      <c r="F304" s="26"/>
      <c r="G304" s="2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6" x14ac:dyDescent="0.25">
      <c r="A305" s="1"/>
      <c r="B305" s="21">
        <v>2</v>
      </c>
      <c r="C305" s="21">
        <v>50</v>
      </c>
      <c r="D305" s="26" t="s">
        <v>1085</v>
      </c>
      <c r="E305" s="27">
        <v>49.9</v>
      </c>
      <c r="F305" s="26"/>
      <c r="G305" s="2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6" x14ac:dyDescent="0.25">
      <c r="A306" s="1"/>
      <c r="B306" s="1"/>
      <c r="C306" s="1"/>
      <c r="D306" s="1"/>
      <c r="E306" s="18"/>
      <c r="F306" s="32"/>
      <c r="G306" s="3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6" x14ac:dyDescent="0.25">
      <c r="A307" s="1"/>
      <c r="B307" s="37" t="s">
        <v>1086</v>
      </c>
      <c r="C307" s="1"/>
      <c r="D307" s="1"/>
      <c r="E307" s="18"/>
      <c r="F307" s="32"/>
      <c r="G307" s="3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6" x14ac:dyDescent="0.25">
      <c r="A308" s="1"/>
      <c r="B308" s="174" t="s">
        <v>1087</v>
      </c>
      <c r="C308" s="171"/>
      <c r="D308" s="26" t="s">
        <v>1088</v>
      </c>
      <c r="E308" s="27">
        <v>98</v>
      </c>
      <c r="F308" s="26"/>
      <c r="G308" s="2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6" x14ac:dyDescent="0.25">
      <c r="A309" s="1"/>
      <c r="B309" s="174" t="s">
        <v>1089</v>
      </c>
      <c r="C309" s="171"/>
      <c r="D309" s="26" t="s">
        <v>1090</v>
      </c>
      <c r="E309" s="27">
        <v>168</v>
      </c>
      <c r="F309" s="26"/>
      <c r="G309" s="2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6" x14ac:dyDescent="0.25">
      <c r="A310" s="1"/>
      <c r="B310" s="174" t="s">
        <v>1091</v>
      </c>
      <c r="C310" s="171"/>
      <c r="D310" s="26" t="s">
        <v>1092</v>
      </c>
      <c r="E310" s="27">
        <v>248</v>
      </c>
      <c r="F310" s="26"/>
      <c r="G310" s="2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6" x14ac:dyDescent="0.25">
      <c r="A311" s="1"/>
      <c r="B311" s="174" t="s">
        <v>1093</v>
      </c>
      <c r="C311" s="171"/>
      <c r="D311" s="26" t="s">
        <v>1094</v>
      </c>
      <c r="E311" s="27">
        <v>448</v>
      </c>
      <c r="F311" s="26"/>
      <c r="G311" s="2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6" x14ac:dyDescent="0.25">
      <c r="A312" s="1"/>
      <c r="B312" s="174" t="s">
        <v>1095</v>
      </c>
      <c r="C312" s="171"/>
      <c r="D312" s="40" t="s">
        <v>1096</v>
      </c>
      <c r="E312" s="27">
        <v>828</v>
      </c>
      <c r="F312" s="26"/>
      <c r="G312" s="2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6" x14ac:dyDescent="0.25">
      <c r="A313" s="1"/>
      <c r="B313" s="1"/>
      <c r="C313" s="1"/>
      <c r="D313" s="1"/>
      <c r="E313" s="18"/>
      <c r="F313" s="32"/>
      <c r="G313" s="3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6" x14ac:dyDescent="0.25">
      <c r="A314" s="1"/>
      <c r="B314" s="37" t="s">
        <v>892</v>
      </c>
      <c r="C314" s="1"/>
      <c r="D314" s="1"/>
      <c r="E314" s="18"/>
      <c r="F314" s="32"/>
      <c r="G314" s="3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3">
      <c r="A315" s="1"/>
      <c r="B315" s="70" t="s">
        <v>10</v>
      </c>
      <c r="C315" s="70" t="s">
        <v>898</v>
      </c>
      <c r="D315" s="71" t="s">
        <v>1097</v>
      </c>
      <c r="E315" s="27">
        <v>940</v>
      </c>
      <c r="F315" s="26"/>
      <c r="G315" s="7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3">
      <c r="A316" s="1"/>
      <c r="B316" s="70" t="s">
        <v>10</v>
      </c>
      <c r="C316" s="70" t="s">
        <v>901</v>
      </c>
      <c r="D316" s="71" t="s">
        <v>1098</v>
      </c>
      <c r="E316" s="27">
        <v>940</v>
      </c>
      <c r="F316" s="26"/>
      <c r="G316" s="7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3">
      <c r="A317" s="1"/>
      <c r="B317" s="70" t="s">
        <v>10</v>
      </c>
      <c r="C317" s="70" t="s">
        <v>905</v>
      </c>
      <c r="D317" s="71" t="s">
        <v>1099</v>
      </c>
      <c r="E317" s="27">
        <v>960</v>
      </c>
      <c r="F317" s="26"/>
      <c r="G317" s="7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3">
      <c r="A318" s="1"/>
      <c r="B318" s="70" t="s">
        <v>10</v>
      </c>
      <c r="C318" s="70" t="s">
        <v>907</v>
      </c>
      <c r="D318" s="71" t="s">
        <v>1100</v>
      </c>
      <c r="E318" s="27">
        <v>960</v>
      </c>
      <c r="F318" s="26"/>
      <c r="G318" s="7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3">
      <c r="A319" s="1"/>
      <c r="B319" s="70" t="s">
        <v>10</v>
      </c>
      <c r="C319" s="70" t="s">
        <v>909</v>
      </c>
      <c r="D319" s="71" t="s">
        <v>1101</v>
      </c>
      <c r="E319" s="27">
        <v>960</v>
      </c>
      <c r="F319" s="26"/>
      <c r="G319" s="7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3">
      <c r="A320" s="1"/>
      <c r="B320" s="70" t="s">
        <v>10</v>
      </c>
      <c r="C320" s="70" t="s">
        <v>911</v>
      </c>
      <c r="D320" s="71" t="s">
        <v>1102</v>
      </c>
      <c r="E320" s="27">
        <v>920</v>
      </c>
      <c r="F320" s="26"/>
      <c r="G320" s="7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6" x14ac:dyDescent="0.25">
      <c r="A321" s="1"/>
      <c r="B321" s="1"/>
      <c r="C321" s="1"/>
      <c r="D321" s="1"/>
      <c r="E321" s="18"/>
      <c r="F321" s="32"/>
      <c r="G321" s="3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6" x14ac:dyDescent="0.25">
      <c r="A322" s="1"/>
      <c r="B322" s="37" t="s">
        <v>923</v>
      </c>
      <c r="C322" s="1"/>
      <c r="D322" s="1"/>
      <c r="E322" s="18"/>
      <c r="F322" s="32"/>
      <c r="G322" s="3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3">
      <c r="A323" s="1"/>
      <c r="B323" s="70" t="s">
        <v>10</v>
      </c>
      <c r="C323" s="70" t="s">
        <v>898</v>
      </c>
      <c r="D323" s="71" t="s">
        <v>1103</v>
      </c>
      <c r="E323" s="27">
        <v>910</v>
      </c>
      <c r="F323" s="26"/>
      <c r="G323" s="7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3">
      <c r="A324" s="1"/>
      <c r="B324" s="70" t="s">
        <v>10</v>
      </c>
      <c r="C324" s="70" t="s">
        <v>901</v>
      </c>
      <c r="D324" s="71" t="s">
        <v>1104</v>
      </c>
      <c r="E324" s="27">
        <v>915</v>
      </c>
      <c r="F324" s="26"/>
      <c r="G324" s="7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3">
      <c r="A325" s="1"/>
      <c r="B325" s="70" t="s">
        <v>10</v>
      </c>
      <c r="C325" s="70" t="s">
        <v>905</v>
      </c>
      <c r="D325" s="71" t="s">
        <v>1105</v>
      </c>
      <c r="E325" s="27">
        <v>915</v>
      </c>
      <c r="F325" s="26"/>
      <c r="G325" s="7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3">
      <c r="A326" s="1"/>
      <c r="B326" s="70" t="s">
        <v>10</v>
      </c>
      <c r="C326" s="70" t="s">
        <v>907</v>
      </c>
      <c r="D326" s="71" t="s">
        <v>1106</v>
      </c>
      <c r="E326" s="27">
        <v>915</v>
      </c>
      <c r="F326" s="26"/>
      <c r="G326" s="7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3">
      <c r="A327" s="1"/>
      <c r="B327" s="70" t="s">
        <v>10</v>
      </c>
      <c r="C327" s="70" t="s">
        <v>909</v>
      </c>
      <c r="D327" s="71" t="s">
        <v>1107</v>
      </c>
      <c r="E327" s="27">
        <v>925</v>
      </c>
      <c r="F327" s="26"/>
      <c r="G327" s="7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3">
      <c r="A328" s="1"/>
      <c r="B328" s="70" t="s">
        <v>10</v>
      </c>
      <c r="C328" s="70" t="s">
        <v>911</v>
      </c>
      <c r="D328" s="71" t="s">
        <v>1108</v>
      </c>
      <c r="E328" s="27">
        <v>915</v>
      </c>
      <c r="F328" s="26"/>
      <c r="G328" s="7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6" x14ac:dyDescent="0.25">
      <c r="A329" s="1"/>
      <c r="B329" s="1"/>
      <c r="C329" s="1"/>
      <c r="D329" s="1"/>
      <c r="E329" s="18"/>
      <c r="F329" s="32"/>
      <c r="G329" s="3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6" x14ac:dyDescent="0.25">
      <c r="A330" s="1"/>
      <c r="B330" s="37" t="s">
        <v>892</v>
      </c>
      <c r="C330" s="1"/>
      <c r="D330" s="1"/>
      <c r="E330" s="18"/>
      <c r="F330" s="32"/>
      <c r="G330" s="3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3">
      <c r="A331" s="1"/>
      <c r="B331" s="70" t="s">
        <v>16</v>
      </c>
      <c r="C331" s="70" t="s">
        <v>898</v>
      </c>
      <c r="D331" s="71" t="s">
        <v>1109</v>
      </c>
      <c r="E331" s="27">
        <v>915</v>
      </c>
      <c r="F331" s="26"/>
      <c r="G331" s="7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3">
      <c r="A332" s="1"/>
      <c r="B332" s="70" t="s">
        <v>16</v>
      </c>
      <c r="C332" s="70" t="s">
        <v>901</v>
      </c>
      <c r="D332" s="71" t="s">
        <v>1110</v>
      </c>
      <c r="E332" s="27">
        <v>930</v>
      </c>
      <c r="F332" s="26"/>
      <c r="G332" s="7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3">
      <c r="A333" s="1"/>
      <c r="B333" s="70" t="s">
        <v>16</v>
      </c>
      <c r="C333" s="70" t="s">
        <v>905</v>
      </c>
      <c r="D333" s="71" t="s">
        <v>1111</v>
      </c>
      <c r="E333" s="27">
        <v>940</v>
      </c>
      <c r="F333" s="26"/>
      <c r="G333" s="7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3">
      <c r="A334" s="1"/>
      <c r="B334" s="70" t="s">
        <v>16</v>
      </c>
      <c r="C334" s="70" t="s">
        <v>907</v>
      </c>
      <c r="D334" s="71" t="s">
        <v>1112</v>
      </c>
      <c r="E334" s="27">
        <v>940</v>
      </c>
      <c r="F334" s="26"/>
      <c r="G334" s="7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3">
      <c r="A335" s="1"/>
      <c r="B335" s="70" t="s">
        <v>16</v>
      </c>
      <c r="C335" s="70" t="s">
        <v>909</v>
      </c>
      <c r="D335" s="71" t="s">
        <v>1113</v>
      </c>
      <c r="E335" s="27">
        <v>940</v>
      </c>
      <c r="F335" s="26"/>
      <c r="G335" s="7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3">
      <c r="A336" s="1"/>
      <c r="B336" s="70" t="s">
        <v>16</v>
      </c>
      <c r="C336" s="70" t="s">
        <v>911</v>
      </c>
      <c r="D336" s="71" t="s">
        <v>1114</v>
      </c>
      <c r="E336" s="27">
        <v>920</v>
      </c>
      <c r="F336" s="26"/>
      <c r="G336" s="7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6" x14ac:dyDescent="0.25">
      <c r="A337" s="1"/>
      <c r="B337" s="1"/>
      <c r="C337" s="1"/>
      <c r="D337" s="1"/>
      <c r="E337" s="18"/>
      <c r="F337" s="32"/>
      <c r="G337" s="3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6" x14ac:dyDescent="0.25">
      <c r="A338" s="1"/>
      <c r="B338" s="37" t="s">
        <v>923</v>
      </c>
      <c r="C338" s="1"/>
      <c r="D338" s="1"/>
      <c r="E338" s="18"/>
      <c r="F338" s="32"/>
      <c r="G338" s="3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3">
      <c r="A339" s="1"/>
      <c r="B339" s="70" t="s">
        <v>16</v>
      </c>
      <c r="C339" s="70" t="s">
        <v>898</v>
      </c>
      <c r="D339" s="71" t="s">
        <v>1115</v>
      </c>
      <c r="E339" s="27">
        <v>940</v>
      </c>
      <c r="F339" s="26"/>
      <c r="G339" s="7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3">
      <c r="A340" s="1"/>
      <c r="B340" s="70" t="s">
        <v>16</v>
      </c>
      <c r="C340" s="70" t="s">
        <v>901</v>
      </c>
      <c r="D340" s="71" t="s">
        <v>1116</v>
      </c>
      <c r="E340" s="27">
        <v>940</v>
      </c>
      <c r="F340" s="26"/>
      <c r="G340" s="7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3">
      <c r="A341" s="1"/>
      <c r="B341" s="70" t="s">
        <v>16</v>
      </c>
      <c r="C341" s="70" t="s">
        <v>905</v>
      </c>
      <c r="D341" s="71" t="s">
        <v>1117</v>
      </c>
      <c r="E341" s="27">
        <v>940</v>
      </c>
      <c r="F341" s="26"/>
      <c r="G341" s="7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3">
      <c r="A342" s="1"/>
      <c r="B342" s="70" t="s">
        <v>16</v>
      </c>
      <c r="C342" s="70" t="s">
        <v>907</v>
      </c>
      <c r="D342" s="71" t="s">
        <v>1118</v>
      </c>
      <c r="E342" s="27">
        <v>940</v>
      </c>
      <c r="F342" s="26"/>
      <c r="G342" s="7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3">
      <c r="A343" s="1"/>
      <c r="B343" s="70" t="s">
        <v>16</v>
      </c>
      <c r="C343" s="70" t="s">
        <v>909</v>
      </c>
      <c r="D343" s="71" t="s">
        <v>1120</v>
      </c>
      <c r="E343" s="27">
        <v>940</v>
      </c>
      <c r="F343" s="26"/>
      <c r="G343" s="7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3">
      <c r="A344" s="1"/>
      <c r="B344" s="70" t="s">
        <v>16</v>
      </c>
      <c r="C344" s="70" t="s">
        <v>911</v>
      </c>
      <c r="D344" s="71" t="s">
        <v>1121</v>
      </c>
      <c r="E344" s="27">
        <v>940</v>
      </c>
      <c r="F344" s="26"/>
      <c r="G344" s="7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6" x14ac:dyDescent="0.25">
      <c r="A345" s="1"/>
      <c r="B345" s="1"/>
      <c r="C345" s="1"/>
      <c r="D345" s="1"/>
      <c r="E345" s="18"/>
      <c r="F345" s="32"/>
      <c r="G345" s="3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6" x14ac:dyDescent="0.25">
      <c r="A346" s="1"/>
      <c r="B346" s="37" t="s">
        <v>914</v>
      </c>
      <c r="C346" s="1"/>
      <c r="D346" s="1"/>
      <c r="E346" s="18"/>
      <c r="F346" s="32"/>
      <c r="G346" s="3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3">
      <c r="A347" s="1"/>
      <c r="B347" s="70" t="s">
        <v>21</v>
      </c>
      <c r="C347" s="70" t="s">
        <v>898</v>
      </c>
      <c r="D347" s="71" t="s">
        <v>1124</v>
      </c>
      <c r="E347" s="27">
        <v>1540</v>
      </c>
      <c r="F347" s="26"/>
      <c r="G347" s="7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3">
      <c r="A348" s="1"/>
      <c r="B348" s="70" t="s">
        <v>21</v>
      </c>
      <c r="C348" s="70" t="s">
        <v>901</v>
      </c>
      <c r="D348" s="71" t="s">
        <v>1126</v>
      </c>
      <c r="E348" s="27">
        <v>1460</v>
      </c>
      <c r="F348" s="26"/>
      <c r="G348" s="7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3">
      <c r="A349" s="1"/>
      <c r="B349" s="70" t="s">
        <v>21</v>
      </c>
      <c r="C349" s="70" t="s">
        <v>905</v>
      </c>
      <c r="D349" s="71" t="s">
        <v>1128</v>
      </c>
      <c r="E349" s="27">
        <v>1460</v>
      </c>
      <c r="F349" s="26"/>
      <c r="G349" s="7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3">
      <c r="A350" s="1"/>
      <c r="B350" s="70" t="s">
        <v>21</v>
      </c>
      <c r="C350" s="70" t="s">
        <v>907</v>
      </c>
      <c r="D350" s="71" t="s">
        <v>1131</v>
      </c>
      <c r="E350" s="27">
        <v>1540</v>
      </c>
      <c r="F350" s="26"/>
      <c r="G350" s="7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3">
      <c r="A351" s="1"/>
      <c r="B351" s="70" t="s">
        <v>21</v>
      </c>
      <c r="C351" s="70" t="s">
        <v>909</v>
      </c>
      <c r="D351" s="71" t="s">
        <v>1136</v>
      </c>
      <c r="E351" s="27">
        <v>1460</v>
      </c>
      <c r="F351" s="26"/>
      <c r="G351" s="7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3">
      <c r="A352" s="1"/>
      <c r="B352" s="70" t="s">
        <v>21</v>
      </c>
      <c r="C352" s="70" t="s">
        <v>911</v>
      </c>
      <c r="D352" s="71" t="s">
        <v>1142</v>
      </c>
      <c r="E352" s="27">
        <v>1570</v>
      </c>
      <c r="F352" s="26"/>
      <c r="G352" s="7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6" x14ac:dyDescent="0.25">
      <c r="A353" s="1"/>
      <c r="B353" s="1"/>
      <c r="C353" s="1"/>
      <c r="D353" s="1"/>
      <c r="E353" s="18"/>
      <c r="F353" s="32"/>
      <c r="G353" s="3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6" x14ac:dyDescent="0.25">
      <c r="A354" s="1"/>
      <c r="B354" s="37" t="s">
        <v>892</v>
      </c>
      <c r="C354" s="1"/>
      <c r="D354" s="1"/>
      <c r="E354" s="18"/>
      <c r="F354" s="32"/>
      <c r="G354" s="3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3">
      <c r="A355" s="1"/>
      <c r="B355" s="70" t="s">
        <v>21</v>
      </c>
      <c r="C355" s="70" t="s">
        <v>898</v>
      </c>
      <c r="D355" s="71" t="s">
        <v>1158</v>
      </c>
      <c r="E355" s="27">
        <v>1520</v>
      </c>
      <c r="F355" s="26"/>
      <c r="G355" s="7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3">
      <c r="A356" s="1"/>
      <c r="B356" s="70" t="s">
        <v>21</v>
      </c>
      <c r="C356" s="70" t="s">
        <v>901</v>
      </c>
      <c r="D356" s="71" t="s">
        <v>1166</v>
      </c>
      <c r="E356" s="27">
        <v>1440</v>
      </c>
      <c r="F356" s="26"/>
      <c r="G356" s="7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3">
      <c r="A357" s="1"/>
      <c r="B357" s="70" t="s">
        <v>21</v>
      </c>
      <c r="C357" s="70" t="s">
        <v>905</v>
      </c>
      <c r="D357" s="71" t="s">
        <v>1172</v>
      </c>
      <c r="E357" s="27">
        <v>1440</v>
      </c>
      <c r="F357" s="26"/>
      <c r="G357" s="7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3">
      <c r="A358" s="1"/>
      <c r="B358" s="70" t="s">
        <v>21</v>
      </c>
      <c r="C358" s="70" t="s">
        <v>907</v>
      </c>
      <c r="D358" s="71" t="s">
        <v>1177</v>
      </c>
      <c r="E358" s="27">
        <v>1520</v>
      </c>
      <c r="F358" s="26"/>
      <c r="G358" s="7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3">
      <c r="A359" s="1"/>
      <c r="B359" s="70" t="s">
        <v>21</v>
      </c>
      <c r="C359" s="70" t="s">
        <v>909</v>
      </c>
      <c r="D359" s="71" t="s">
        <v>1182</v>
      </c>
      <c r="E359" s="27">
        <v>1440</v>
      </c>
      <c r="F359" s="26"/>
      <c r="G359" s="7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3">
      <c r="A360" s="1"/>
      <c r="B360" s="70" t="s">
        <v>21</v>
      </c>
      <c r="C360" s="70" t="s">
        <v>911</v>
      </c>
      <c r="D360" s="71" t="s">
        <v>1190</v>
      </c>
      <c r="E360" s="27">
        <v>1560</v>
      </c>
      <c r="F360" s="26"/>
      <c r="G360" s="7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2" x14ac:dyDescent="0.25">
      <c r="A959" s="1"/>
      <c r="B959" s="1"/>
      <c r="C959" s="1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2" x14ac:dyDescent="0.25">
      <c r="A960" s="1"/>
      <c r="B960" s="1"/>
      <c r="C960" s="1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2" x14ac:dyDescent="0.25">
      <c r="A961" s="1"/>
      <c r="B961" s="1"/>
      <c r="C961" s="1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2" x14ac:dyDescent="0.25">
      <c r="A962" s="1"/>
      <c r="B962" s="1"/>
      <c r="C962" s="1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2" x14ac:dyDescent="0.25">
      <c r="A963" s="1"/>
      <c r="B963" s="1"/>
      <c r="C963" s="1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2" x14ac:dyDescent="0.25">
      <c r="A964" s="1"/>
      <c r="B964" s="1"/>
      <c r="C964" s="1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2" x14ac:dyDescent="0.25">
      <c r="A965" s="1"/>
      <c r="B965" s="1"/>
      <c r="C965" s="1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2" x14ac:dyDescent="0.25">
      <c r="A966" s="1"/>
      <c r="B966" s="1"/>
      <c r="C966" s="1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2" x14ac:dyDescent="0.25">
      <c r="A967" s="1"/>
      <c r="B967" s="1"/>
      <c r="C967" s="1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2" x14ac:dyDescent="0.25">
      <c r="A968" s="1"/>
      <c r="B968" s="1"/>
      <c r="C968" s="1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2" x14ac:dyDescent="0.25">
      <c r="A969" s="1"/>
      <c r="B969" s="1"/>
      <c r="C969" s="1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2" x14ac:dyDescent="0.25">
      <c r="A970" s="1"/>
      <c r="B970" s="1"/>
      <c r="C970" s="1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2" x14ac:dyDescent="0.25">
      <c r="A971" s="1"/>
      <c r="B971" s="1"/>
      <c r="C971" s="1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2" x14ac:dyDescent="0.25">
      <c r="A972" s="1"/>
      <c r="B972" s="1"/>
      <c r="C972" s="1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2" x14ac:dyDescent="0.25">
      <c r="A973" s="1"/>
      <c r="B973" s="1"/>
      <c r="C973" s="1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2" x14ac:dyDescent="0.25">
      <c r="A974" s="1"/>
      <c r="B974" s="1"/>
      <c r="C974" s="1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2" x14ac:dyDescent="0.25">
      <c r="A975" s="1"/>
      <c r="B975" s="1"/>
      <c r="C975" s="1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2" x14ac:dyDescent="0.25">
      <c r="A976" s="1"/>
      <c r="B976" s="1"/>
      <c r="C976" s="1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2" x14ac:dyDescent="0.25">
      <c r="A977" s="1"/>
      <c r="B977" s="1"/>
      <c r="C977" s="1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2" x14ac:dyDescent="0.25">
      <c r="A978" s="1"/>
      <c r="B978" s="1"/>
      <c r="C978" s="1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2" x14ac:dyDescent="0.25">
      <c r="A979" s="1"/>
      <c r="B979" s="1"/>
      <c r="C979" s="1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2" x14ac:dyDescent="0.25">
      <c r="A980" s="1"/>
      <c r="B980" s="1"/>
      <c r="C980" s="1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2" x14ac:dyDescent="0.25">
      <c r="A981" s="1"/>
      <c r="B981" s="1"/>
      <c r="C981" s="1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2" x14ac:dyDescent="0.25">
      <c r="A982" s="1"/>
      <c r="B982" s="1"/>
      <c r="C982" s="1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2" x14ac:dyDescent="0.25">
      <c r="A983" s="1"/>
      <c r="B983" s="1"/>
      <c r="C983" s="1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2" x14ac:dyDescent="0.25">
      <c r="A984" s="1"/>
      <c r="B984" s="1"/>
      <c r="C984" s="1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2" x14ac:dyDescent="0.25">
      <c r="A985" s="1"/>
      <c r="B985" s="1"/>
      <c r="C985" s="1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2" x14ac:dyDescent="0.25">
      <c r="A986" s="1"/>
      <c r="B986" s="1"/>
      <c r="C986" s="1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2" x14ac:dyDescent="0.25">
      <c r="A987" s="1"/>
      <c r="B987" s="1"/>
      <c r="C987" s="1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2" x14ac:dyDescent="0.25">
      <c r="A988" s="1"/>
      <c r="B988" s="1"/>
      <c r="C988" s="1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.2" x14ac:dyDescent="0.25">
      <c r="A989" s="1"/>
      <c r="B989" s="1"/>
      <c r="C989" s="1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.2" x14ac:dyDescent="0.25">
      <c r="A990" s="1"/>
      <c r="B990" s="1"/>
      <c r="C990" s="1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.2" x14ac:dyDescent="0.25">
      <c r="A991" s="1"/>
      <c r="B991" s="1"/>
      <c r="C991" s="1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.2" x14ac:dyDescent="0.25">
      <c r="A992" s="1"/>
      <c r="B992" s="1"/>
      <c r="C992" s="1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.2" x14ac:dyDescent="0.25">
      <c r="A993" s="1"/>
      <c r="B993" s="1"/>
      <c r="C993" s="1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.2" x14ac:dyDescent="0.25">
      <c r="A994" s="1"/>
      <c r="B994" s="1"/>
      <c r="C994" s="1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.2" x14ac:dyDescent="0.25">
      <c r="A995" s="1"/>
      <c r="B995" s="1"/>
      <c r="C995" s="1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.2" x14ac:dyDescent="0.25">
      <c r="A996" s="1"/>
      <c r="B996" s="1"/>
      <c r="C996" s="1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.2" x14ac:dyDescent="0.25">
      <c r="A997" s="1"/>
      <c r="B997" s="1"/>
      <c r="C997" s="1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</sheetData>
  <mergeCells count="7">
    <mergeCell ref="F1:G1"/>
    <mergeCell ref="B308:C308"/>
    <mergeCell ref="B309:C309"/>
    <mergeCell ref="B310:C310"/>
    <mergeCell ref="B311:C311"/>
    <mergeCell ref="B312:C312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H9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5" sqref="E15"/>
    </sheetView>
  </sheetViews>
  <sheetFormatPr defaultColWidth="12.6640625" defaultRowHeight="15.75" customHeight="1" x14ac:dyDescent="0.25"/>
  <cols>
    <col min="1" max="1" width="3.77734375" customWidth="1"/>
    <col min="2" max="2" width="12.77734375" customWidth="1"/>
    <col min="3" max="3" width="12.109375" customWidth="1"/>
    <col min="4" max="4" width="10.21875" customWidth="1"/>
    <col min="5" max="5" width="16.44140625" customWidth="1"/>
  </cols>
  <sheetData>
    <row r="1" spans="2:8" ht="29.25" customHeight="1" x14ac:dyDescent="0.25">
      <c r="D1" s="170" t="s">
        <v>0</v>
      </c>
      <c r="E1" s="171"/>
      <c r="F1" s="170" t="s">
        <v>1</v>
      </c>
      <c r="G1" s="171"/>
      <c r="H1" s="2"/>
    </row>
    <row r="2" spans="2:8" ht="31.2" x14ac:dyDescent="0.25">
      <c r="B2" s="4" t="s">
        <v>1119</v>
      </c>
      <c r="C2" s="4" t="s">
        <v>4</v>
      </c>
      <c r="D2" s="5" t="s">
        <v>5</v>
      </c>
      <c r="E2" s="6" t="s">
        <v>6</v>
      </c>
      <c r="F2" s="7" t="s">
        <v>5</v>
      </c>
      <c r="G2" s="8">
        <v>46235</v>
      </c>
      <c r="H2" s="1"/>
    </row>
    <row r="3" spans="2:8" ht="15.6" x14ac:dyDescent="0.3">
      <c r="B3" s="73" t="s">
        <v>1122</v>
      </c>
      <c r="C3" s="74"/>
      <c r="D3" s="74"/>
      <c r="E3" s="75"/>
      <c r="F3" s="16"/>
      <c r="G3" s="18"/>
      <c r="H3" s="1"/>
    </row>
    <row r="4" spans="2:8" ht="15.6" x14ac:dyDescent="0.25">
      <c r="B4" s="77" t="s">
        <v>1123</v>
      </c>
      <c r="C4" s="78">
        <v>90</v>
      </c>
      <c r="D4" s="29" t="s">
        <v>1125</v>
      </c>
      <c r="E4" s="79">
        <v>990</v>
      </c>
      <c r="F4" s="23" t="s">
        <v>1127</v>
      </c>
      <c r="G4" s="79">
        <v>1123.1999999999998</v>
      </c>
      <c r="H4" s="1"/>
    </row>
    <row r="5" spans="2:8" ht="15.6" x14ac:dyDescent="0.25">
      <c r="B5" s="77" t="s">
        <v>1123</v>
      </c>
      <c r="C5" s="80">
        <v>110</v>
      </c>
      <c r="D5" s="29" t="s">
        <v>1129</v>
      </c>
      <c r="E5" s="79">
        <v>1480</v>
      </c>
      <c r="F5" s="23" t="s">
        <v>1130</v>
      </c>
      <c r="G5" s="79">
        <v>1653.6000000000001</v>
      </c>
      <c r="H5" s="1"/>
    </row>
    <row r="6" spans="2:8" ht="15.6" x14ac:dyDescent="0.25">
      <c r="B6" s="77" t="s">
        <v>1123</v>
      </c>
      <c r="C6" s="80">
        <v>125</v>
      </c>
      <c r="D6" s="29" t="s">
        <v>1132</v>
      </c>
      <c r="E6" s="79">
        <v>1870</v>
      </c>
      <c r="F6" s="23" t="s">
        <v>1133</v>
      </c>
      <c r="G6" s="79">
        <v>2090.3999999999996</v>
      </c>
      <c r="H6" s="1"/>
    </row>
    <row r="7" spans="2:8" ht="15.6" x14ac:dyDescent="0.25">
      <c r="B7" s="77" t="s">
        <v>1123</v>
      </c>
      <c r="C7" s="80">
        <v>140</v>
      </c>
      <c r="D7" s="29" t="s">
        <v>1134</v>
      </c>
      <c r="E7" s="79">
        <v>2290</v>
      </c>
      <c r="F7" s="23" t="s">
        <v>1135</v>
      </c>
      <c r="G7" s="79">
        <v>2589.6000000000004</v>
      </c>
      <c r="H7" s="1"/>
    </row>
    <row r="8" spans="2:8" ht="15.6" x14ac:dyDescent="0.25">
      <c r="B8" s="77" t="s">
        <v>1123</v>
      </c>
      <c r="C8" s="80">
        <v>160</v>
      </c>
      <c r="D8" s="29" t="s">
        <v>1137</v>
      </c>
      <c r="E8" s="79">
        <v>3090</v>
      </c>
      <c r="F8" s="23" t="s">
        <v>1138</v>
      </c>
      <c r="G8" s="79">
        <v>3432</v>
      </c>
      <c r="H8" s="1"/>
    </row>
    <row r="9" spans="2:8" ht="15.6" x14ac:dyDescent="0.25">
      <c r="B9" s="77" t="s">
        <v>1123</v>
      </c>
      <c r="C9" s="80">
        <v>180</v>
      </c>
      <c r="D9" s="29" t="s">
        <v>1139</v>
      </c>
      <c r="E9" s="79">
        <v>3940</v>
      </c>
      <c r="F9" s="23" t="s">
        <v>1140</v>
      </c>
      <c r="G9" s="79">
        <v>4149.6000000000004</v>
      </c>
      <c r="H9" s="1"/>
    </row>
    <row r="10" spans="2:8" ht="15.6" x14ac:dyDescent="0.25">
      <c r="B10" s="77" t="s">
        <v>1123</v>
      </c>
      <c r="C10" s="80">
        <v>200</v>
      </c>
      <c r="D10" s="29" t="s">
        <v>1141</v>
      </c>
      <c r="E10" s="79">
        <v>4890</v>
      </c>
      <c r="F10" s="23" t="s">
        <v>1143</v>
      </c>
      <c r="G10" s="79">
        <v>5304</v>
      </c>
    </row>
    <row r="11" spans="2:8" ht="15.6" x14ac:dyDescent="0.25">
      <c r="B11" s="77" t="s">
        <v>1144</v>
      </c>
      <c r="C11" s="80">
        <v>63</v>
      </c>
      <c r="D11" s="29" t="s">
        <v>1145</v>
      </c>
      <c r="E11" s="79">
        <v>796</v>
      </c>
      <c r="F11" s="23" t="s">
        <v>1146</v>
      </c>
      <c r="G11" s="79">
        <v>868.5</v>
      </c>
      <c r="H11" s="1"/>
    </row>
    <row r="12" spans="2:8" ht="15.6" x14ac:dyDescent="0.25">
      <c r="B12" s="77" t="s">
        <v>1144</v>
      </c>
      <c r="C12" s="80">
        <v>75</v>
      </c>
      <c r="D12" s="29" t="s">
        <v>1147</v>
      </c>
      <c r="E12" s="79">
        <v>1096</v>
      </c>
      <c r="F12" s="23" t="s">
        <v>1148</v>
      </c>
      <c r="G12" s="79">
        <v>1224</v>
      </c>
      <c r="H12" s="1"/>
    </row>
    <row r="13" spans="2:8" ht="15.6" x14ac:dyDescent="0.25">
      <c r="B13" s="77" t="s">
        <v>1144</v>
      </c>
      <c r="C13" s="80">
        <v>90</v>
      </c>
      <c r="D13" s="29" t="s">
        <v>1149</v>
      </c>
      <c r="E13" s="79">
        <v>1496</v>
      </c>
      <c r="F13" s="23" t="s">
        <v>1150</v>
      </c>
      <c r="G13" s="79">
        <v>1713.6000000000001</v>
      </c>
      <c r="H13" s="1"/>
    </row>
    <row r="14" spans="2:8" ht="15.6" x14ac:dyDescent="0.25">
      <c r="B14" s="77" t="s">
        <v>1144</v>
      </c>
      <c r="C14" s="80">
        <v>110</v>
      </c>
      <c r="D14" s="29" t="s">
        <v>1151</v>
      </c>
      <c r="E14" s="79">
        <v>2196</v>
      </c>
      <c r="F14" s="23" t="s">
        <v>1152</v>
      </c>
      <c r="G14" s="79">
        <v>2448</v>
      </c>
      <c r="H14" s="1"/>
    </row>
    <row r="15" spans="2:8" ht="15.6" x14ac:dyDescent="0.25">
      <c r="B15" s="77" t="s">
        <v>1144</v>
      </c>
      <c r="C15" s="80">
        <v>125</v>
      </c>
      <c r="D15" s="29" t="s">
        <v>1153</v>
      </c>
      <c r="E15" s="79">
        <v>2896</v>
      </c>
      <c r="F15" s="23" t="s">
        <v>1154</v>
      </c>
      <c r="G15" s="79">
        <v>3213</v>
      </c>
      <c r="H15" s="1"/>
    </row>
    <row r="16" spans="2:8" ht="15.6" x14ac:dyDescent="0.25">
      <c r="B16" s="77" t="s">
        <v>1144</v>
      </c>
      <c r="C16" s="80">
        <v>140</v>
      </c>
      <c r="D16" s="29" t="s">
        <v>1155</v>
      </c>
      <c r="E16" s="79">
        <v>3648</v>
      </c>
      <c r="F16" s="23" t="s">
        <v>1156</v>
      </c>
      <c r="G16" s="79">
        <v>3978</v>
      </c>
      <c r="H16" s="1"/>
    </row>
    <row r="17" spans="2:8" ht="15.6" x14ac:dyDescent="0.25">
      <c r="B17" s="77" t="s">
        <v>1144</v>
      </c>
      <c r="C17" s="80">
        <v>160</v>
      </c>
      <c r="D17" s="29" t="s">
        <v>1157</v>
      </c>
      <c r="E17" s="79">
        <v>4790</v>
      </c>
      <c r="F17" s="23" t="s">
        <v>1159</v>
      </c>
      <c r="G17" s="79">
        <v>5232.6000000000004</v>
      </c>
      <c r="H17" s="1"/>
    </row>
    <row r="18" spans="2:8" ht="15.6" x14ac:dyDescent="0.25">
      <c r="B18" s="77" t="s">
        <v>1144</v>
      </c>
      <c r="C18" s="80">
        <v>180</v>
      </c>
      <c r="D18" s="29" t="s">
        <v>1160</v>
      </c>
      <c r="E18" s="79">
        <v>6096</v>
      </c>
      <c r="F18" s="23" t="s">
        <v>1161</v>
      </c>
      <c r="G18" s="79">
        <v>6670.7999999999993</v>
      </c>
      <c r="H18" s="1"/>
    </row>
    <row r="19" spans="2:8" ht="15.6" x14ac:dyDescent="0.25">
      <c r="B19" s="77" t="s">
        <v>1144</v>
      </c>
      <c r="C19" s="80">
        <v>200</v>
      </c>
      <c r="D19" s="29" t="s">
        <v>1162</v>
      </c>
      <c r="E19" s="79">
        <v>7368</v>
      </c>
      <c r="F19" s="23" t="s">
        <v>1163</v>
      </c>
      <c r="G19" s="79">
        <v>8078.4000000000005</v>
      </c>
      <c r="H19" s="1"/>
    </row>
    <row r="20" spans="2:8" ht="15.6" x14ac:dyDescent="0.25">
      <c r="B20" s="77" t="s">
        <v>1164</v>
      </c>
      <c r="C20" s="80">
        <v>40</v>
      </c>
      <c r="D20" s="29" t="s">
        <v>1165</v>
      </c>
      <c r="E20" s="79">
        <v>464</v>
      </c>
      <c r="F20" s="23" t="s">
        <v>1167</v>
      </c>
      <c r="G20" s="79">
        <v>514.79999999999995</v>
      </c>
      <c r="H20" s="1"/>
    </row>
    <row r="21" spans="2:8" ht="15.6" x14ac:dyDescent="0.25">
      <c r="B21" s="77" t="s">
        <v>1164</v>
      </c>
      <c r="C21" s="80">
        <v>50</v>
      </c>
      <c r="D21" s="29" t="s">
        <v>1168</v>
      </c>
      <c r="E21" s="79">
        <v>694</v>
      </c>
      <c r="F21" s="23" t="s">
        <v>1169</v>
      </c>
      <c r="G21" s="79">
        <v>780</v>
      </c>
      <c r="H21" s="1"/>
    </row>
    <row r="22" spans="2:8" ht="15.6" x14ac:dyDescent="0.25">
      <c r="B22" s="77" t="s">
        <v>1164</v>
      </c>
      <c r="C22" s="80">
        <v>63</v>
      </c>
      <c r="D22" s="29" t="s">
        <v>1170</v>
      </c>
      <c r="E22" s="79">
        <v>1094</v>
      </c>
      <c r="F22" s="23" t="s">
        <v>1171</v>
      </c>
      <c r="G22" s="79">
        <v>1260</v>
      </c>
      <c r="H22" s="1"/>
    </row>
    <row r="23" spans="2:8" ht="15.6" x14ac:dyDescent="0.25">
      <c r="B23" s="77" t="s">
        <v>1164</v>
      </c>
      <c r="C23" s="80">
        <v>75</v>
      </c>
      <c r="D23" s="29" t="s">
        <v>1173</v>
      </c>
      <c r="E23" s="79">
        <v>1528</v>
      </c>
      <c r="F23" s="23" t="s">
        <v>1174</v>
      </c>
      <c r="G23" s="79">
        <v>1680</v>
      </c>
      <c r="H23" s="1"/>
    </row>
    <row r="24" spans="2:8" ht="15.6" x14ac:dyDescent="0.25">
      <c r="B24" s="77" t="s">
        <v>1164</v>
      </c>
      <c r="C24" s="80">
        <v>90</v>
      </c>
      <c r="D24" s="29" t="s">
        <v>1176</v>
      </c>
      <c r="E24" s="79">
        <v>2148</v>
      </c>
      <c r="F24" s="23" t="s">
        <v>1178</v>
      </c>
      <c r="G24" s="79">
        <v>2400</v>
      </c>
      <c r="H24" s="1"/>
    </row>
    <row r="25" spans="2:8" ht="15.6" x14ac:dyDescent="0.25">
      <c r="B25" s="77" t="s">
        <v>1164</v>
      </c>
      <c r="C25" s="80">
        <v>110</v>
      </c>
      <c r="D25" s="29" t="s">
        <v>1179</v>
      </c>
      <c r="E25" s="79">
        <v>3148</v>
      </c>
      <c r="F25" s="23" t="s">
        <v>1181</v>
      </c>
      <c r="G25" s="79">
        <v>3480</v>
      </c>
      <c r="H25" s="1"/>
    </row>
    <row r="26" spans="2:8" ht="15.6" x14ac:dyDescent="0.25">
      <c r="B26" s="77" t="s">
        <v>1164</v>
      </c>
      <c r="C26" s="80">
        <v>125</v>
      </c>
      <c r="D26" s="29" t="s">
        <v>1183</v>
      </c>
      <c r="E26" s="79">
        <v>4188</v>
      </c>
      <c r="F26" s="23" t="s">
        <v>1184</v>
      </c>
      <c r="G26" s="79">
        <v>4590</v>
      </c>
      <c r="H26" s="1"/>
    </row>
    <row r="27" spans="2:8" ht="15.6" x14ac:dyDescent="0.25">
      <c r="B27" s="77" t="s">
        <v>1164</v>
      </c>
      <c r="C27" s="80">
        <v>140</v>
      </c>
      <c r="D27" s="29" t="s">
        <v>1185</v>
      </c>
      <c r="E27" s="79">
        <v>5228</v>
      </c>
      <c r="F27" s="23" t="s">
        <v>1186</v>
      </c>
      <c r="G27" s="79">
        <v>5700</v>
      </c>
      <c r="H27" s="1"/>
    </row>
    <row r="28" spans="2:8" ht="15.6" x14ac:dyDescent="0.25">
      <c r="B28" s="77" t="s">
        <v>1164</v>
      </c>
      <c r="C28" s="80">
        <v>160</v>
      </c>
      <c r="D28" s="29" t="s">
        <v>1187</v>
      </c>
      <c r="E28" s="79">
        <v>6696</v>
      </c>
      <c r="F28" s="23" t="s">
        <v>1188</v>
      </c>
      <c r="G28" s="79">
        <v>7350</v>
      </c>
      <c r="H28" s="1"/>
    </row>
    <row r="29" spans="2:8" ht="15.6" x14ac:dyDescent="0.25">
      <c r="B29" s="77" t="s">
        <v>1164</v>
      </c>
      <c r="C29" s="80">
        <v>180</v>
      </c>
      <c r="D29" s="29" t="s">
        <v>1191</v>
      </c>
      <c r="E29" s="79">
        <v>8496</v>
      </c>
      <c r="F29" s="23" t="s">
        <v>1192</v>
      </c>
      <c r="G29" s="79">
        <v>9390</v>
      </c>
      <c r="H29" s="1"/>
    </row>
    <row r="30" spans="2:8" ht="15.6" x14ac:dyDescent="0.25">
      <c r="B30" s="77" t="s">
        <v>1164</v>
      </c>
      <c r="C30" s="80">
        <v>200</v>
      </c>
      <c r="D30" s="29" t="s">
        <v>1193</v>
      </c>
      <c r="E30" s="79">
        <v>10488</v>
      </c>
      <c r="F30" s="23" t="s">
        <v>1194</v>
      </c>
      <c r="G30" s="79">
        <v>11640</v>
      </c>
      <c r="H30" s="1"/>
    </row>
    <row r="31" spans="2:8" ht="15.6" x14ac:dyDescent="0.25">
      <c r="B31" s="21" t="s">
        <v>1195</v>
      </c>
      <c r="C31" s="28">
        <v>20</v>
      </c>
      <c r="D31" s="29" t="s">
        <v>1196</v>
      </c>
      <c r="E31" s="79">
        <v>196</v>
      </c>
      <c r="F31" s="23" t="s">
        <v>1198</v>
      </c>
      <c r="G31" s="79">
        <v>224.28000000000003</v>
      </c>
      <c r="H31" s="1"/>
    </row>
    <row r="32" spans="2:8" ht="15.6" x14ac:dyDescent="0.25">
      <c r="B32" s="21" t="s">
        <v>1195</v>
      </c>
      <c r="C32" s="28">
        <v>25</v>
      </c>
      <c r="D32" s="29" t="s">
        <v>1199</v>
      </c>
      <c r="E32" s="79">
        <v>294</v>
      </c>
      <c r="F32" s="23" t="s">
        <v>1200</v>
      </c>
      <c r="G32" s="79">
        <v>330</v>
      </c>
      <c r="H32" s="1"/>
    </row>
    <row r="33" spans="2:8" ht="15.6" x14ac:dyDescent="0.25">
      <c r="B33" s="21" t="s">
        <v>1195</v>
      </c>
      <c r="C33" s="28">
        <v>32</v>
      </c>
      <c r="D33" s="29" t="s">
        <v>1202</v>
      </c>
      <c r="E33" s="79">
        <v>468</v>
      </c>
      <c r="F33" s="23" t="s">
        <v>1204</v>
      </c>
      <c r="G33" s="79">
        <v>528</v>
      </c>
      <c r="H33" s="1"/>
    </row>
    <row r="34" spans="2:8" ht="15.6" x14ac:dyDescent="0.25">
      <c r="B34" s="21" t="s">
        <v>1195</v>
      </c>
      <c r="C34" s="28">
        <v>40</v>
      </c>
      <c r="D34" s="29" t="s">
        <v>1205</v>
      </c>
      <c r="E34" s="79">
        <v>716</v>
      </c>
      <c r="F34" s="23" t="s">
        <v>1206</v>
      </c>
      <c r="G34" s="79">
        <v>780</v>
      </c>
      <c r="H34" s="1"/>
    </row>
    <row r="35" spans="2:8" ht="15.6" x14ac:dyDescent="0.25">
      <c r="B35" s="21" t="s">
        <v>1195</v>
      </c>
      <c r="C35" s="28">
        <v>50</v>
      </c>
      <c r="D35" s="29" t="s">
        <v>1208</v>
      </c>
      <c r="E35" s="79">
        <v>1240</v>
      </c>
      <c r="F35" s="23" t="s">
        <v>1209</v>
      </c>
      <c r="G35" s="79">
        <v>1216.8000000000002</v>
      </c>
      <c r="H35" s="1"/>
    </row>
    <row r="36" spans="2:8" ht="15.6" x14ac:dyDescent="0.25">
      <c r="B36" s="21" t="s">
        <v>1195</v>
      </c>
      <c r="C36" s="28">
        <v>63</v>
      </c>
      <c r="D36" s="29" t="s">
        <v>1210</v>
      </c>
      <c r="E36" s="79">
        <v>1784</v>
      </c>
      <c r="F36" s="23" t="s">
        <v>1212</v>
      </c>
      <c r="G36" s="79">
        <v>1830</v>
      </c>
      <c r="H36" s="1"/>
    </row>
    <row r="37" spans="2:8" ht="15.6" x14ac:dyDescent="0.25">
      <c r="B37" s="21" t="s">
        <v>1195</v>
      </c>
      <c r="C37" s="28">
        <v>75</v>
      </c>
      <c r="D37" s="29" t="s">
        <v>1213</v>
      </c>
      <c r="E37" s="79">
        <v>2480</v>
      </c>
      <c r="F37" s="23" t="s">
        <v>1214</v>
      </c>
      <c r="G37" s="79">
        <v>2610</v>
      </c>
      <c r="H37" s="1"/>
    </row>
    <row r="38" spans="2:8" ht="15.6" x14ac:dyDescent="0.25">
      <c r="B38" s="21" t="s">
        <v>1195</v>
      </c>
      <c r="C38" s="28">
        <v>90</v>
      </c>
      <c r="D38" s="29" t="s">
        <v>1215</v>
      </c>
      <c r="E38" s="79">
        <v>3496</v>
      </c>
      <c r="F38" s="23" t="s">
        <v>1216</v>
      </c>
      <c r="G38" s="79">
        <v>3720</v>
      </c>
      <c r="H38" s="1"/>
    </row>
    <row r="39" spans="2:8" ht="15.6" x14ac:dyDescent="0.25">
      <c r="B39" s="21" t="s">
        <v>1195</v>
      </c>
      <c r="C39" s="28">
        <v>110</v>
      </c>
      <c r="D39" s="29" t="s">
        <v>1218</v>
      </c>
      <c r="E39" s="79">
        <v>5340</v>
      </c>
      <c r="F39" s="23" t="s">
        <v>1219</v>
      </c>
      <c r="G39" s="79">
        <v>5550</v>
      </c>
      <c r="H39" s="1"/>
    </row>
    <row r="40" spans="2:8" ht="15.6" x14ac:dyDescent="0.25">
      <c r="B40" s="21" t="s">
        <v>1195</v>
      </c>
      <c r="C40" s="28">
        <v>125</v>
      </c>
      <c r="D40" s="29" t="s">
        <v>1220</v>
      </c>
      <c r="E40" s="79">
        <v>6680</v>
      </c>
      <c r="F40" s="23" t="s">
        <v>1221</v>
      </c>
      <c r="G40" s="79">
        <v>7200</v>
      </c>
    </row>
    <row r="41" spans="2:8" ht="15.6" x14ac:dyDescent="0.25">
      <c r="B41" s="21" t="s">
        <v>1195</v>
      </c>
      <c r="C41" s="28">
        <v>140</v>
      </c>
      <c r="D41" s="29" t="s">
        <v>1222</v>
      </c>
      <c r="E41" s="79">
        <v>8580</v>
      </c>
      <c r="F41" s="23" t="s">
        <v>1224</v>
      </c>
      <c r="G41" s="79">
        <v>8910</v>
      </c>
      <c r="H41" s="1"/>
    </row>
    <row r="42" spans="2:8" ht="15.6" x14ac:dyDescent="0.25">
      <c r="B42" s="21" t="s">
        <v>1195</v>
      </c>
      <c r="C42" s="28">
        <v>160</v>
      </c>
      <c r="D42" s="29" t="s">
        <v>1225</v>
      </c>
      <c r="E42" s="79">
        <v>10980</v>
      </c>
      <c r="F42" s="23" t="s">
        <v>1226</v>
      </c>
      <c r="G42" s="79">
        <v>11700</v>
      </c>
      <c r="H42" s="1"/>
    </row>
    <row r="43" spans="2:8" ht="15.6" x14ac:dyDescent="0.25">
      <c r="B43" s="21" t="s">
        <v>1195</v>
      </c>
      <c r="C43" s="28">
        <v>180</v>
      </c>
      <c r="D43" s="29" t="s">
        <v>1227</v>
      </c>
      <c r="E43" s="79">
        <v>13980</v>
      </c>
      <c r="F43" s="23" t="s">
        <v>1229</v>
      </c>
      <c r="G43" s="79">
        <v>14700</v>
      </c>
      <c r="H43" s="1"/>
    </row>
    <row r="44" spans="2:8" ht="15.6" x14ac:dyDescent="0.25">
      <c r="B44" s="21" t="s">
        <v>1195</v>
      </c>
      <c r="C44" s="28">
        <v>200</v>
      </c>
      <c r="D44" s="29" t="s">
        <v>1230</v>
      </c>
      <c r="E44" s="79">
        <v>17380</v>
      </c>
      <c r="F44" s="23" t="s">
        <v>1231</v>
      </c>
      <c r="G44" s="79">
        <v>18000</v>
      </c>
      <c r="H44" s="1"/>
    </row>
    <row r="45" spans="2:8" ht="15.6" x14ac:dyDescent="0.3">
      <c r="B45" s="87"/>
      <c r="C45" s="87"/>
      <c r="D45" s="34"/>
      <c r="E45" s="88"/>
      <c r="F45" s="89"/>
      <c r="G45" s="90"/>
      <c r="H45" s="1"/>
    </row>
    <row r="46" spans="2:8" ht="15.6" x14ac:dyDescent="0.3">
      <c r="B46" s="73" t="s">
        <v>1233</v>
      </c>
      <c r="C46" s="91"/>
      <c r="D46" s="91"/>
      <c r="E46" s="88"/>
      <c r="F46" s="89"/>
      <c r="G46" s="90"/>
      <c r="H46" s="1"/>
    </row>
    <row r="47" spans="2:8" ht="15.6" x14ac:dyDescent="0.25">
      <c r="B47" s="77" t="s">
        <v>1123</v>
      </c>
      <c r="C47" s="80">
        <v>90</v>
      </c>
      <c r="D47" s="67" t="s">
        <v>1235</v>
      </c>
      <c r="E47" s="79">
        <v>825</v>
      </c>
      <c r="F47" s="23" t="s">
        <v>1236</v>
      </c>
      <c r="G47" s="79">
        <v>936</v>
      </c>
      <c r="H47" s="1"/>
    </row>
    <row r="48" spans="2:8" ht="15.6" x14ac:dyDescent="0.25">
      <c r="B48" s="92" t="s">
        <v>1123</v>
      </c>
      <c r="C48" s="80">
        <v>110</v>
      </c>
      <c r="D48" s="29" t="s">
        <v>1238</v>
      </c>
      <c r="E48" s="79">
        <v>1233</v>
      </c>
      <c r="F48" s="23" t="s">
        <v>1240</v>
      </c>
      <c r="G48" s="79">
        <v>1378</v>
      </c>
      <c r="H48" s="1"/>
    </row>
    <row r="49" spans="2:8" ht="15.6" x14ac:dyDescent="0.25">
      <c r="B49" s="92" t="s">
        <v>1123</v>
      </c>
      <c r="C49" s="80">
        <v>125</v>
      </c>
      <c r="D49" s="29" t="s">
        <v>1241</v>
      </c>
      <c r="E49" s="79">
        <v>1558</v>
      </c>
      <c r="F49" s="23" t="s">
        <v>1243</v>
      </c>
      <c r="G49" s="79">
        <v>1742</v>
      </c>
      <c r="H49" s="1"/>
    </row>
    <row r="50" spans="2:8" ht="15.6" x14ac:dyDescent="0.25">
      <c r="B50" s="92" t="s">
        <v>1123</v>
      </c>
      <c r="C50" s="80">
        <v>140</v>
      </c>
      <c r="D50" s="29" t="s">
        <v>1244</v>
      </c>
      <c r="E50" s="79">
        <v>1908</v>
      </c>
      <c r="F50" s="23" t="s">
        <v>1245</v>
      </c>
      <c r="G50" s="79">
        <v>2158</v>
      </c>
      <c r="H50" s="1"/>
    </row>
    <row r="51" spans="2:8" ht="15.6" x14ac:dyDescent="0.25">
      <c r="B51" s="92" t="s">
        <v>1123</v>
      </c>
      <c r="C51" s="80">
        <v>160</v>
      </c>
      <c r="D51" s="29" t="s">
        <v>1247</v>
      </c>
      <c r="E51" s="79">
        <v>2575</v>
      </c>
      <c r="F51" s="23" t="s">
        <v>1248</v>
      </c>
      <c r="G51" s="79">
        <v>2860</v>
      </c>
      <c r="H51" s="1"/>
    </row>
    <row r="52" spans="2:8" ht="15.6" x14ac:dyDescent="0.25">
      <c r="B52" s="92" t="s">
        <v>1123</v>
      </c>
      <c r="C52" s="80">
        <v>180</v>
      </c>
      <c r="D52" s="29" t="s">
        <v>1249</v>
      </c>
      <c r="E52" s="79">
        <v>3283</v>
      </c>
      <c r="F52" s="23" t="s">
        <v>1251</v>
      </c>
      <c r="G52" s="79">
        <v>3458</v>
      </c>
      <c r="H52" s="1"/>
    </row>
    <row r="53" spans="2:8" ht="15.6" x14ac:dyDescent="0.25">
      <c r="B53" s="92" t="s">
        <v>1123</v>
      </c>
      <c r="C53" s="80">
        <v>200</v>
      </c>
      <c r="D53" s="29" t="s">
        <v>1252</v>
      </c>
      <c r="E53" s="79">
        <v>4075</v>
      </c>
      <c r="F53" s="23" t="s">
        <v>1253</v>
      </c>
      <c r="G53" s="79">
        <v>4420</v>
      </c>
    </row>
    <row r="54" spans="2:8" ht="15.6" x14ac:dyDescent="0.25">
      <c r="B54" s="92" t="s">
        <v>1144</v>
      </c>
      <c r="C54" s="80">
        <v>63</v>
      </c>
      <c r="D54" s="29" t="s">
        <v>1255</v>
      </c>
      <c r="E54" s="79">
        <v>663</v>
      </c>
      <c r="F54" s="23" t="s">
        <v>1256</v>
      </c>
      <c r="G54" s="79">
        <v>723.75</v>
      </c>
      <c r="H54" s="1"/>
    </row>
    <row r="55" spans="2:8" ht="15.6" x14ac:dyDescent="0.25">
      <c r="B55" s="92" t="s">
        <v>1144</v>
      </c>
      <c r="C55" s="80">
        <v>75</v>
      </c>
      <c r="D55" s="29" t="s">
        <v>1258</v>
      </c>
      <c r="E55" s="79">
        <v>913</v>
      </c>
      <c r="F55" s="23" t="s">
        <v>1259</v>
      </c>
      <c r="G55" s="79">
        <v>1020</v>
      </c>
      <c r="H55" s="1"/>
    </row>
    <row r="56" spans="2:8" ht="15.6" x14ac:dyDescent="0.25">
      <c r="B56" s="92" t="s">
        <v>1144</v>
      </c>
      <c r="C56" s="80">
        <v>90</v>
      </c>
      <c r="D56" s="29" t="s">
        <v>1260</v>
      </c>
      <c r="E56" s="79">
        <v>1247</v>
      </c>
      <c r="F56" s="23" t="s">
        <v>1262</v>
      </c>
      <c r="G56" s="79">
        <v>1428</v>
      </c>
      <c r="H56" s="1"/>
    </row>
    <row r="57" spans="2:8" ht="15.6" x14ac:dyDescent="0.25">
      <c r="B57" s="92" t="s">
        <v>1144</v>
      </c>
      <c r="C57" s="80">
        <v>110</v>
      </c>
      <c r="D57" s="29" t="s">
        <v>1263</v>
      </c>
      <c r="E57" s="79">
        <v>1830</v>
      </c>
      <c r="F57" s="23" t="s">
        <v>1265</v>
      </c>
      <c r="G57" s="79">
        <v>2040</v>
      </c>
      <c r="H57" s="1"/>
    </row>
    <row r="58" spans="2:8" ht="15.6" x14ac:dyDescent="0.25">
      <c r="B58" s="92" t="s">
        <v>1144</v>
      </c>
      <c r="C58" s="80">
        <v>125</v>
      </c>
      <c r="D58" s="29" t="s">
        <v>1266</v>
      </c>
      <c r="E58" s="79">
        <v>2413</v>
      </c>
      <c r="F58" s="23" t="s">
        <v>1267</v>
      </c>
      <c r="G58" s="79">
        <v>2677.5</v>
      </c>
      <c r="H58" s="1"/>
    </row>
    <row r="59" spans="2:8" ht="15.6" x14ac:dyDescent="0.25">
      <c r="B59" s="92" t="s">
        <v>1144</v>
      </c>
      <c r="C59" s="80">
        <v>140</v>
      </c>
      <c r="D59" s="29" t="s">
        <v>1268</v>
      </c>
      <c r="E59" s="79">
        <v>3040</v>
      </c>
      <c r="F59" s="23" t="s">
        <v>1270</v>
      </c>
      <c r="G59" s="79">
        <v>3315</v>
      </c>
      <c r="H59" s="1"/>
    </row>
    <row r="60" spans="2:8" ht="15.6" x14ac:dyDescent="0.25">
      <c r="B60" s="92" t="s">
        <v>1144</v>
      </c>
      <c r="C60" s="80">
        <v>160</v>
      </c>
      <c r="D60" s="29" t="s">
        <v>1271</v>
      </c>
      <c r="E60" s="79">
        <v>3992</v>
      </c>
      <c r="F60" s="23" t="s">
        <v>1273</v>
      </c>
      <c r="G60" s="79">
        <v>4360.5</v>
      </c>
      <c r="H60" s="1"/>
    </row>
    <row r="61" spans="2:8" ht="15.6" x14ac:dyDescent="0.25">
      <c r="B61" s="92" t="s">
        <v>1144</v>
      </c>
      <c r="C61" s="80">
        <v>180</v>
      </c>
      <c r="D61" s="29" t="s">
        <v>1274</v>
      </c>
      <c r="E61" s="79">
        <v>5080</v>
      </c>
      <c r="F61" s="23" t="s">
        <v>1275</v>
      </c>
      <c r="G61" s="79">
        <v>5559</v>
      </c>
      <c r="H61" s="1"/>
    </row>
    <row r="62" spans="2:8" ht="15.6" x14ac:dyDescent="0.25">
      <c r="B62" s="92" t="s">
        <v>1144</v>
      </c>
      <c r="C62" s="80">
        <v>200</v>
      </c>
      <c r="D62" s="29" t="s">
        <v>1276</v>
      </c>
      <c r="E62" s="79">
        <v>6140</v>
      </c>
      <c r="F62" s="23" t="s">
        <v>1277</v>
      </c>
      <c r="G62" s="79">
        <v>6732</v>
      </c>
      <c r="H62" s="1"/>
    </row>
    <row r="63" spans="2:8" ht="15.6" x14ac:dyDescent="0.25">
      <c r="B63" s="92" t="s">
        <v>1164</v>
      </c>
      <c r="C63" s="80">
        <v>40</v>
      </c>
      <c r="D63" s="29" t="s">
        <v>1279</v>
      </c>
      <c r="E63" s="79">
        <v>387</v>
      </c>
      <c r="F63" s="23" t="s">
        <v>1280</v>
      </c>
      <c r="G63" s="79">
        <v>429</v>
      </c>
      <c r="H63" s="1"/>
    </row>
    <row r="64" spans="2:8" ht="15.6" x14ac:dyDescent="0.25">
      <c r="B64" s="92" t="s">
        <v>1164</v>
      </c>
      <c r="C64" s="80">
        <v>50</v>
      </c>
      <c r="D64" s="29" t="s">
        <v>1281</v>
      </c>
      <c r="E64" s="79">
        <v>578</v>
      </c>
      <c r="F64" s="23" t="s">
        <v>1282</v>
      </c>
      <c r="G64" s="79">
        <v>650</v>
      </c>
      <c r="H64" s="1"/>
    </row>
    <row r="65" spans="2:8" ht="15.6" x14ac:dyDescent="0.25">
      <c r="B65" s="92" t="s">
        <v>1164</v>
      </c>
      <c r="C65" s="80">
        <v>63</v>
      </c>
      <c r="D65" s="29" t="s">
        <v>1283</v>
      </c>
      <c r="E65" s="79">
        <v>912</v>
      </c>
      <c r="F65" s="23" t="s">
        <v>1284</v>
      </c>
      <c r="G65" s="79">
        <v>1050</v>
      </c>
      <c r="H65" s="1"/>
    </row>
    <row r="66" spans="2:8" ht="15.6" x14ac:dyDescent="0.25">
      <c r="B66" s="92" t="s">
        <v>1164</v>
      </c>
      <c r="C66" s="80">
        <v>75</v>
      </c>
      <c r="D66" s="29" t="s">
        <v>1286</v>
      </c>
      <c r="E66" s="79">
        <v>1273</v>
      </c>
      <c r="F66" s="23" t="s">
        <v>1287</v>
      </c>
      <c r="G66" s="79">
        <v>1400</v>
      </c>
      <c r="H66" s="1"/>
    </row>
    <row r="67" spans="2:8" ht="15.6" x14ac:dyDescent="0.25">
      <c r="B67" s="92" t="s">
        <v>1164</v>
      </c>
      <c r="C67" s="80">
        <v>90</v>
      </c>
      <c r="D67" s="29" t="s">
        <v>1288</v>
      </c>
      <c r="E67" s="79">
        <v>1790</v>
      </c>
      <c r="F67" s="23" t="s">
        <v>1289</v>
      </c>
      <c r="G67" s="79">
        <v>2000</v>
      </c>
      <c r="H67" s="1"/>
    </row>
    <row r="68" spans="2:8" ht="15.6" x14ac:dyDescent="0.25">
      <c r="B68" s="92" t="s">
        <v>1164</v>
      </c>
      <c r="C68" s="80">
        <v>110</v>
      </c>
      <c r="D68" s="29" t="s">
        <v>1290</v>
      </c>
      <c r="E68" s="79">
        <v>2623</v>
      </c>
      <c r="F68" s="23" t="s">
        <v>1292</v>
      </c>
      <c r="G68" s="79">
        <v>2900</v>
      </c>
      <c r="H68" s="1"/>
    </row>
    <row r="69" spans="2:8" ht="15.6" x14ac:dyDescent="0.25">
      <c r="B69" s="92" t="s">
        <v>1164</v>
      </c>
      <c r="C69" s="80">
        <v>125</v>
      </c>
      <c r="D69" s="29" t="s">
        <v>1293</v>
      </c>
      <c r="E69" s="79">
        <v>3490</v>
      </c>
      <c r="F69" s="23" t="s">
        <v>1295</v>
      </c>
      <c r="G69" s="79">
        <v>3825</v>
      </c>
      <c r="H69" s="1"/>
    </row>
    <row r="70" spans="2:8" ht="15.6" x14ac:dyDescent="0.25">
      <c r="B70" s="92" t="s">
        <v>1164</v>
      </c>
      <c r="C70" s="80">
        <v>140</v>
      </c>
      <c r="D70" s="29" t="s">
        <v>1297</v>
      </c>
      <c r="E70" s="79">
        <v>4357</v>
      </c>
      <c r="F70" s="23" t="s">
        <v>1298</v>
      </c>
      <c r="G70" s="79">
        <v>4750</v>
      </c>
      <c r="H70" s="1"/>
    </row>
    <row r="71" spans="2:8" ht="15.6" x14ac:dyDescent="0.25">
      <c r="B71" s="92" t="s">
        <v>1164</v>
      </c>
      <c r="C71" s="80">
        <v>160</v>
      </c>
      <c r="D71" s="29" t="s">
        <v>1300</v>
      </c>
      <c r="E71" s="79">
        <v>5580</v>
      </c>
      <c r="F71" s="23" t="s">
        <v>1302</v>
      </c>
      <c r="G71" s="79">
        <v>6125</v>
      </c>
      <c r="H71" s="1"/>
    </row>
    <row r="72" spans="2:8" ht="15.6" x14ac:dyDescent="0.25">
      <c r="B72" s="92" t="s">
        <v>1164</v>
      </c>
      <c r="C72" s="80">
        <v>180</v>
      </c>
      <c r="D72" s="29" t="s">
        <v>1303</v>
      </c>
      <c r="E72" s="79">
        <v>7080</v>
      </c>
      <c r="F72" s="23" t="s">
        <v>1305</v>
      </c>
      <c r="G72" s="79">
        <v>7825</v>
      </c>
      <c r="H72" s="1"/>
    </row>
    <row r="73" spans="2:8" ht="15.6" x14ac:dyDescent="0.25">
      <c r="B73" s="92" t="s">
        <v>1164</v>
      </c>
      <c r="C73" s="80">
        <v>200</v>
      </c>
      <c r="D73" s="29" t="s">
        <v>1307</v>
      </c>
      <c r="E73" s="79">
        <v>8740</v>
      </c>
      <c r="F73" s="23" t="s">
        <v>1308</v>
      </c>
      <c r="G73" s="79">
        <v>9700</v>
      </c>
      <c r="H73" s="1"/>
    </row>
    <row r="74" spans="2:8" ht="15.6" x14ac:dyDescent="0.25">
      <c r="B74" s="20" t="s">
        <v>1195</v>
      </c>
      <c r="C74" s="28">
        <v>20</v>
      </c>
      <c r="D74" s="29" t="s">
        <v>1311</v>
      </c>
      <c r="E74" s="79">
        <v>163</v>
      </c>
      <c r="F74" s="23" t="s">
        <v>1313</v>
      </c>
      <c r="G74" s="79">
        <v>186.9</v>
      </c>
      <c r="H74" s="1"/>
    </row>
    <row r="75" spans="2:8" ht="15.6" x14ac:dyDescent="0.25">
      <c r="B75" s="20" t="s">
        <v>1195</v>
      </c>
      <c r="C75" s="28">
        <v>25</v>
      </c>
      <c r="D75" s="29" t="s">
        <v>1314</v>
      </c>
      <c r="E75" s="79">
        <v>245</v>
      </c>
      <c r="F75" s="23" t="s">
        <v>1315</v>
      </c>
      <c r="G75" s="79">
        <v>275</v>
      </c>
      <c r="H75" s="1"/>
    </row>
    <row r="76" spans="2:8" ht="15.6" x14ac:dyDescent="0.25">
      <c r="B76" s="20" t="s">
        <v>1195</v>
      </c>
      <c r="C76" s="28">
        <v>32</v>
      </c>
      <c r="D76" s="29" t="s">
        <v>1317</v>
      </c>
      <c r="E76" s="79">
        <v>390</v>
      </c>
      <c r="F76" s="23" t="s">
        <v>1319</v>
      </c>
      <c r="G76" s="79">
        <v>440</v>
      </c>
      <c r="H76" s="1"/>
    </row>
    <row r="77" spans="2:8" ht="15.6" x14ac:dyDescent="0.25">
      <c r="B77" s="20" t="s">
        <v>1195</v>
      </c>
      <c r="C77" s="28">
        <v>40</v>
      </c>
      <c r="D77" s="29" t="s">
        <v>1321</v>
      </c>
      <c r="E77" s="79">
        <v>596</v>
      </c>
      <c r="F77" s="23" t="s">
        <v>1322</v>
      </c>
      <c r="G77" s="79">
        <v>650</v>
      </c>
      <c r="H77" s="1"/>
    </row>
    <row r="78" spans="2:8" ht="15.6" x14ac:dyDescent="0.25">
      <c r="B78" s="20" t="s">
        <v>1195</v>
      </c>
      <c r="C78" s="28">
        <v>50</v>
      </c>
      <c r="D78" s="29" t="s">
        <v>1323</v>
      </c>
      <c r="E78" s="79">
        <v>1033</v>
      </c>
      <c r="F78" s="23" t="s">
        <v>1325</v>
      </c>
      <c r="G78" s="79">
        <v>1014</v>
      </c>
      <c r="H78" s="1"/>
    </row>
    <row r="79" spans="2:8" ht="15.6" x14ac:dyDescent="0.25">
      <c r="B79" s="20" t="s">
        <v>1195</v>
      </c>
      <c r="C79" s="28">
        <v>63</v>
      </c>
      <c r="D79" s="29" t="s">
        <v>1326</v>
      </c>
      <c r="E79" s="79">
        <v>1486</v>
      </c>
      <c r="F79" s="23" t="s">
        <v>1327</v>
      </c>
      <c r="G79" s="79">
        <v>1525</v>
      </c>
      <c r="H79" s="1"/>
    </row>
    <row r="80" spans="2:8" ht="15.6" x14ac:dyDescent="0.25">
      <c r="B80" s="20" t="s">
        <v>1195</v>
      </c>
      <c r="C80" s="28">
        <v>75</v>
      </c>
      <c r="D80" s="29" t="s">
        <v>1329</v>
      </c>
      <c r="E80" s="79">
        <v>2066</v>
      </c>
      <c r="F80" s="23" t="s">
        <v>1330</v>
      </c>
      <c r="G80" s="79">
        <v>2175</v>
      </c>
      <c r="H80" s="1"/>
    </row>
    <row r="81" spans="2:8" ht="15.6" x14ac:dyDescent="0.25">
      <c r="B81" s="20" t="s">
        <v>1195</v>
      </c>
      <c r="C81" s="28">
        <v>90</v>
      </c>
      <c r="D81" s="29" t="s">
        <v>1331</v>
      </c>
      <c r="E81" s="79">
        <v>2913</v>
      </c>
      <c r="F81" s="23" t="s">
        <v>1332</v>
      </c>
      <c r="G81" s="79">
        <v>3100</v>
      </c>
      <c r="H81" s="1"/>
    </row>
    <row r="82" spans="2:8" ht="15.6" x14ac:dyDescent="0.25">
      <c r="B82" s="20" t="s">
        <v>1195</v>
      </c>
      <c r="C82" s="28">
        <v>110</v>
      </c>
      <c r="D82" s="29" t="s">
        <v>1333</v>
      </c>
      <c r="E82" s="79">
        <v>4450</v>
      </c>
      <c r="F82" s="23" t="s">
        <v>1334</v>
      </c>
      <c r="G82" s="79">
        <v>4625</v>
      </c>
      <c r="H82" s="1"/>
    </row>
    <row r="83" spans="2:8" ht="15.6" x14ac:dyDescent="0.25">
      <c r="B83" s="20" t="s">
        <v>1195</v>
      </c>
      <c r="C83" s="28">
        <v>125</v>
      </c>
      <c r="D83" s="29" t="s">
        <v>1336</v>
      </c>
      <c r="E83" s="79">
        <v>5566</v>
      </c>
      <c r="F83" s="23" t="s">
        <v>1337</v>
      </c>
      <c r="G83" s="79">
        <v>6000</v>
      </c>
    </row>
    <row r="84" spans="2:8" ht="15.6" x14ac:dyDescent="0.25">
      <c r="B84" s="20" t="s">
        <v>1195</v>
      </c>
      <c r="C84" s="28">
        <v>140</v>
      </c>
      <c r="D84" s="29" t="s">
        <v>1338</v>
      </c>
      <c r="E84" s="79">
        <v>7150</v>
      </c>
      <c r="F84" s="23" t="s">
        <v>1339</v>
      </c>
      <c r="G84" s="79">
        <v>7425</v>
      </c>
      <c r="H84" s="1"/>
    </row>
    <row r="85" spans="2:8" ht="15.6" x14ac:dyDescent="0.25">
      <c r="B85" s="20" t="s">
        <v>1195</v>
      </c>
      <c r="C85" s="28">
        <v>160</v>
      </c>
      <c r="D85" s="29" t="s">
        <v>1340</v>
      </c>
      <c r="E85" s="79">
        <v>9150</v>
      </c>
      <c r="F85" s="23" t="s">
        <v>1341</v>
      </c>
      <c r="G85" s="79">
        <v>9750</v>
      </c>
      <c r="H85" s="1"/>
    </row>
    <row r="86" spans="2:8" ht="15.6" x14ac:dyDescent="0.25">
      <c r="B86" s="20" t="s">
        <v>1195</v>
      </c>
      <c r="C86" s="28">
        <v>180</v>
      </c>
      <c r="D86" s="29" t="s">
        <v>1342</v>
      </c>
      <c r="E86" s="79">
        <v>11650</v>
      </c>
      <c r="F86" s="23" t="s">
        <v>1343</v>
      </c>
      <c r="G86" s="79">
        <v>12250</v>
      </c>
      <c r="H86" s="1"/>
    </row>
    <row r="87" spans="2:8" ht="15.6" x14ac:dyDescent="0.25">
      <c r="B87" s="20" t="s">
        <v>1195</v>
      </c>
      <c r="C87" s="28">
        <v>200</v>
      </c>
      <c r="D87" s="29" t="s">
        <v>1344</v>
      </c>
      <c r="E87" s="79">
        <v>14483</v>
      </c>
      <c r="F87" s="23" t="s">
        <v>1345</v>
      </c>
      <c r="G87" s="79">
        <v>15000</v>
      </c>
      <c r="H87" s="1"/>
    </row>
    <row r="88" spans="2:8" ht="15.6" x14ac:dyDescent="0.3">
      <c r="B88" s="87"/>
      <c r="C88" s="87"/>
      <c r="D88" s="34"/>
      <c r="E88" s="88"/>
      <c r="F88" s="89"/>
      <c r="G88" s="90"/>
      <c r="H88" s="1"/>
    </row>
    <row r="89" spans="2:8" ht="15.6" x14ac:dyDescent="0.3">
      <c r="B89" s="73" t="s">
        <v>1347</v>
      </c>
      <c r="E89" s="88"/>
      <c r="F89" s="89"/>
      <c r="G89" s="90"/>
      <c r="H89" s="1"/>
    </row>
    <row r="90" spans="2:8" ht="15.6" x14ac:dyDescent="0.25">
      <c r="B90" s="77" t="s">
        <v>1123</v>
      </c>
      <c r="C90" s="78">
        <v>90</v>
      </c>
      <c r="D90" s="29" t="s">
        <v>1348</v>
      </c>
      <c r="E90" s="79">
        <v>495</v>
      </c>
      <c r="F90" s="23" t="s">
        <v>1350</v>
      </c>
      <c r="G90" s="79">
        <v>561.59999999999991</v>
      </c>
      <c r="H90" s="1"/>
    </row>
    <row r="91" spans="2:8" ht="15.6" x14ac:dyDescent="0.25">
      <c r="B91" s="92" t="s">
        <v>1123</v>
      </c>
      <c r="C91" s="80">
        <v>110</v>
      </c>
      <c r="D91" s="29" t="s">
        <v>1351</v>
      </c>
      <c r="E91" s="79">
        <v>740</v>
      </c>
      <c r="F91" s="23" t="s">
        <v>1353</v>
      </c>
      <c r="G91" s="79">
        <v>826.80000000000007</v>
      </c>
      <c r="H91" s="1"/>
    </row>
    <row r="92" spans="2:8" ht="15.6" x14ac:dyDescent="0.25">
      <c r="B92" s="92" t="s">
        <v>1123</v>
      </c>
      <c r="C92" s="80">
        <v>125</v>
      </c>
      <c r="D92" s="29" t="s">
        <v>1354</v>
      </c>
      <c r="E92" s="79">
        <v>935</v>
      </c>
      <c r="F92" s="23" t="s">
        <v>1356</v>
      </c>
      <c r="G92" s="79">
        <v>1045.1999999999998</v>
      </c>
      <c r="H92" s="1"/>
    </row>
    <row r="93" spans="2:8" ht="15.6" x14ac:dyDescent="0.25">
      <c r="B93" s="92" t="s">
        <v>1123</v>
      </c>
      <c r="C93" s="80">
        <v>140</v>
      </c>
      <c r="D93" s="29" t="s">
        <v>1357</v>
      </c>
      <c r="E93" s="79">
        <v>1145</v>
      </c>
      <c r="F93" s="23" t="s">
        <v>1358</v>
      </c>
      <c r="G93" s="79">
        <v>1294.8000000000002</v>
      </c>
      <c r="H93" s="1"/>
    </row>
    <row r="94" spans="2:8" ht="15.6" x14ac:dyDescent="0.25">
      <c r="B94" s="92" t="s">
        <v>1123</v>
      </c>
      <c r="C94" s="80">
        <v>160</v>
      </c>
      <c r="D94" s="29" t="s">
        <v>1360</v>
      </c>
      <c r="E94" s="79">
        <v>1545</v>
      </c>
      <c r="F94" s="23" t="s">
        <v>1361</v>
      </c>
      <c r="G94" s="79">
        <v>1716</v>
      </c>
      <c r="H94" s="1"/>
    </row>
    <row r="95" spans="2:8" ht="15.6" x14ac:dyDescent="0.25">
      <c r="B95" s="92" t="s">
        <v>1123</v>
      </c>
      <c r="C95" s="80">
        <v>180</v>
      </c>
      <c r="D95" s="29" t="s">
        <v>1363</v>
      </c>
      <c r="E95" s="79">
        <v>1970</v>
      </c>
      <c r="F95" s="23" t="s">
        <v>1364</v>
      </c>
      <c r="G95" s="79">
        <v>2074.8000000000002</v>
      </c>
      <c r="H95" s="1"/>
    </row>
    <row r="96" spans="2:8" ht="15.6" x14ac:dyDescent="0.25">
      <c r="B96" s="92" t="s">
        <v>1123</v>
      </c>
      <c r="C96" s="80">
        <v>200</v>
      </c>
      <c r="D96" s="29" t="s">
        <v>1365</v>
      </c>
      <c r="E96" s="79">
        <v>2445</v>
      </c>
      <c r="F96" s="23" t="s">
        <v>1367</v>
      </c>
      <c r="G96" s="79">
        <v>2652</v>
      </c>
    </row>
    <row r="97" spans="2:8" ht="15.6" x14ac:dyDescent="0.25">
      <c r="B97" s="92" t="s">
        <v>1144</v>
      </c>
      <c r="C97" s="80">
        <v>63</v>
      </c>
      <c r="D97" s="29" t="s">
        <v>1368</v>
      </c>
      <c r="E97" s="79">
        <v>398</v>
      </c>
      <c r="F97" s="23" t="s">
        <v>1369</v>
      </c>
      <c r="G97" s="79">
        <v>434.25</v>
      </c>
      <c r="H97" s="1"/>
    </row>
    <row r="98" spans="2:8" ht="15.6" x14ac:dyDescent="0.25">
      <c r="B98" s="92" t="s">
        <v>1144</v>
      </c>
      <c r="C98" s="80">
        <v>75</v>
      </c>
      <c r="D98" s="29" t="s">
        <v>1371</v>
      </c>
      <c r="E98" s="79">
        <v>548</v>
      </c>
      <c r="F98" s="23" t="s">
        <v>1372</v>
      </c>
      <c r="G98" s="79">
        <v>612</v>
      </c>
      <c r="H98" s="1"/>
    </row>
    <row r="99" spans="2:8" ht="15.6" x14ac:dyDescent="0.25">
      <c r="B99" s="92" t="s">
        <v>1144</v>
      </c>
      <c r="C99" s="80">
        <v>90</v>
      </c>
      <c r="D99" s="29" t="s">
        <v>1374</v>
      </c>
      <c r="E99" s="79">
        <v>748</v>
      </c>
      <c r="F99" s="23" t="s">
        <v>1375</v>
      </c>
      <c r="G99" s="79">
        <v>856.80000000000007</v>
      </c>
      <c r="H99" s="1"/>
    </row>
    <row r="100" spans="2:8" ht="15.6" x14ac:dyDescent="0.25">
      <c r="B100" s="92" t="s">
        <v>1144</v>
      </c>
      <c r="C100" s="80">
        <v>110</v>
      </c>
      <c r="D100" s="29" t="s">
        <v>1376</v>
      </c>
      <c r="E100" s="79">
        <v>1098</v>
      </c>
      <c r="F100" s="23" t="s">
        <v>1377</v>
      </c>
      <c r="G100" s="79">
        <v>1224</v>
      </c>
      <c r="H100" s="1"/>
    </row>
    <row r="101" spans="2:8" ht="15.6" x14ac:dyDescent="0.25">
      <c r="B101" s="92" t="s">
        <v>1144</v>
      </c>
      <c r="C101" s="80">
        <v>125</v>
      </c>
      <c r="D101" s="29" t="s">
        <v>1378</v>
      </c>
      <c r="E101" s="79">
        <v>1448</v>
      </c>
      <c r="F101" s="23" t="s">
        <v>1380</v>
      </c>
      <c r="G101" s="79">
        <v>1606.5</v>
      </c>
      <c r="H101" s="1"/>
    </row>
    <row r="102" spans="2:8" ht="15.6" x14ac:dyDescent="0.25">
      <c r="B102" s="92" t="s">
        <v>1144</v>
      </c>
      <c r="C102" s="80">
        <v>140</v>
      </c>
      <c r="D102" s="29" t="s">
        <v>1381</v>
      </c>
      <c r="E102" s="79">
        <v>1824</v>
      </c>
      <c r="F102" s="23" t="s">
        <v>1383</v>
      </c>
      <c r="G102" s="79">
        <v>1989</v>
      </c>
      <c r="H102" s="1"/>
    </row>
    <row r="103" spans="2:8" ht="15.6" x14ac:dyDescent="0.25">
      <c r="B103" s="92" t="s">
        <v>1144</v>
      </c>
      <c r="C103" s="80">
        <v>160</v>
      </c>
      <c r="D103" s="29" t="s">
        <v>1384</v>
      </c>
      <c r="E103" s="79">
        <v>2395</v>
      </c>
      <c r="F103" s="23" t="s">
        <v>1385</v>
      </c>
      <c r="G103" s="79">
        <v>2616.3000000000002</v>
      </c>
      <c r="H103" s="1"/>
    </row>
    <row r="104" spans="2:8" ht="15.6" x14ac:dyDescent="0.25">
      <c r="B104" s="92" t="s">
        <v>1144</v>
      </c>
      <c r="C104" s="80">
        <v>180</v>
      </c>
      <c r="D104" s="29" t="s">
        <v>1387</v>
      </c>
      <c r="E104" s="79">
        <v>3048</v>
      </c>
      <c r="F104" s="23" t="s">
        <v>1388</v>
      </c>
      <c r="G104" s="79">
        <v>3335.3999999999996</v>
      </c>
      <c r="H104" s="1"/>
    </row>
    <row r="105" spans="2:8" ht="15.6" x14ac:dyDescent="0.25">
      <c r="B105" s="92" t="s">
        <v>1144</v>
      </c>
      <c r="C105" s="80">
        <v>200</v>
      </c>
      <c r="D105" s="29" t="s">
        <v>1389</v>
      </c>
      <c r="E105" s="79">
        <v>3684</v>
      </c>
      <c r="F105" s="23" t="s">
        <v>1391</v>
      </c>
      <c r="G105" s="79">
        <v>4039.2000000000003</v>
      </c>
      <c r="H105" s="1"/>
    </row>
    <row r="106" spans="2:8" ht="15.6" x14ac:dyDescent="0.25">
      <c r="B106" s="92" t="s">
        <v>1164</v>
      </c>
      <c r="C106" s="80">
        <v>40</v>
      </c>
      <c r="D106" s="29" t="s">
        <v>1392</v>
      </c>
      <c r="E106" s="79">
        <v>232</v>
      </c>
      <c r="F106" s="23" t="s">
        <v>1394</v>
      </c>
      <c r="G106" s="79">
        <v>257.39999999999998</v>
      </c>
      <c r="H106" s="1"/>
    </row>
    <row r="107" spans="2:8" ht="15.6" x14ac:dyDescent="0.25">
      <c r="B107" s="92" t="s">
        <v>1164</v>
      </c>
      <c r="C107" s="80">
        <v>50</v>
      </c>
      <c r="D107" s="29" t="s">
        <v>1395</v>
      </c>
      <c r="E107" s="79">
        <v>347</v>
      </c>
      <c r="F107" s="23" t="s">
        <v>1396</v>
      </c>
      <c r="G107" s="79">
        <v>390</v>
      </c>
      <c r="H107" s="1"/>
    </row>
    <row r="108" spans="2:8" ht="15.6" x14ac:dyDescent="0.25">
      <c r="B108" s="92" t="s">
        <v>1164</v>
      </c>
      <c r="C108" s="80">
        <v>63</v>
      </c>
      <c r="D108" s="29" t="s">
        <v>1398</v>
      </c>
      <c r="E108" s="79">
        <v>547</v>
      </c>
      <c r="F108" s="23" t="s">
        <v>1400</v>
      </c>
      <c r="G108" s="79">
        <v>630</v>
      </c>
      <c r="H108" s="1"/>
    </row>
    <row r="109" spans="2:8" ht="15.6" x14ac:dyDescent="0.25">
      <c r="B109" s="92" t="s">
        <v>1164</v>
      </c>
      <c r="C109" s="80">
        <v>75</v>
      </c>
      <c r="D109" s="29" t="s">
        <v>1401</v>
      </c>
      <c r="E109" s="79">
        <v>764</v>
      </c>
      <c r="F109" s="23" t="s">
        <v>1402</v>
      </c>
      <c r="G109" s="79">
        <v>840</v>
      </c>
      <c r="H109" s="1"/>
    </row>
    <row r="110" spans="2:8" ht="15.6" x14ac:dyDescent="0.25">
      <c r="B110" s="92" t="s">
        <v>1164</v>
      </c>
      <c r="C110" s="80">
        <v>90</v>
      </c>
      <c r="D110" s="29" t="s">
        <v>1404</v>
      </c>
      <c r="E110" s="79">
        <v>1074</v>
      </c>
      <c r="F110" s="23" t="s">
        <v>1406</v>
      </c>
      <c r="G110" s="79">
        <v>1200</v>
      </c>
      <c r="H110" s="1"/>
    </row>
    <row r="111" spans="2:8" ht="15.6" x14ac:dyDescent="0.25">
      <c r="B111" s="92" t="s">
        <v>1164</v>
      </c>
      <c r="C111" s="80">
        <v>110</v>
      </c>
      <c r="D111" s="29" t="s">
        <v>1407</v>
      </c>
      <c r="E111" s="79">
        <v>1574</v>
      </c>
      <c r="F111" s="23" t="s">
        <v>1408</v>
      </c>
      <c r="G111" s="79">
        <v>1740</v>
      </c>
      <c r="H111" s="1"/>
    </row>
    <row r="112" spans="2:8" ht="15.6" x14ac:dyDescent="0.25">
      <c r="B112" s="92" t="s">
        <v>1164</v>
      </c>
      <c r="C112" s="80">
        <v>125</v>
      </c>
      <c r="D112" s="29" t="s">
        <v>1410</v>
      </c>
      <c r="E112" s="79">
        <v>2094</v>
      </c>
      <c r="F112" s="23" t="s">
        <v>1411</v>
      </c>
      <c r="G112" s="79">
        <v>2295</v>
      </c>
      <c r="H112" s="1"/>
    </row>
    <row r="113" spans="2:8" ht="15.6" x14ac:dyDescent="0.25">
      <c r="B113" s="92" t="s">
        <v>1164</v>
      </c>
      <c r="C113" s="80">
        <v>140</v>
      </c>
      <c r="D113" s="29" t="s">
        <v>1413</v>
      </c>
      <c r="E113" s="79">
        <v>2614</v>
      </c>
      <c r="F113" s="23" t="s">
        <v>1415</v>
      </c>
      <c r="G113" s="79">
        <v>2850</v>
      </c>
      <c r="H113" s="1"/>
    </row>
    <row r="114" spans="2:8" ht="15.6" x14ac:dyDescent="0.25">
      <c r="B114" s="92" t="s">
        <v>1164</v>
      </c>
      <c r="C114" s="80">
        <v>160</v>
      </c>
      <c r="D114" s="29" t="s">
        <v>1416</v>
      </c>
      <c r="E114" s="79">
        <v>3348</v>
      </c>
      <c r="F114" s="23" t="s">
        <v>1418</v>
      </c>
      <c r="G114" s="79">
        <v>3675</v>
      </c>
      <c r="H114" s="1"/>
    </row>
    <row r="115" spans="2:8" ht="15.6" x14ac:dyDescent="0.25">
      <c r="B115" s="77" t="s">
        <v>1164</v>
      </c>
      <c r="C115" s="80">
        <v>180</v>
      </c>
      <c r="D115" s="29" t="s">
        <v>1420</v>
      </c>
      <c r="E115" s="79">
        <v>4248</v>
      </c>
      <c r="F115" s="23" t="s">
        <v>1421</v>
      </c>
      <c r="G115" s="79">
        <v>4695</v>
      </c>
      <c r="H115" s="1"/>
    </row>
    <row r="116" spans="2:8" ht="15.6" x14ac:dyDescent="0.25">
      <c r="B116" s="77" t="s">
        <v>1164</v>
      </c>
      <c r="C116" s="80">
        <v>200</v>
      </c>
      <c r="D116" s="29" t="s">
        <v>1422</v>
      </c>
      <c r="E116" s="79">
        <v>5244</v>
      </c>
      <c r="F116" s="23" t="s">
        <v>1423</v>
      </c>
      <c r="G116" s="79">
        <v>5820</v>
      </c>
      <c r="H116" s="1"/>
    </row>
    <row r="117" spans="2:8" ht="15.6" x14ac:dyDescent="0.25">
      <c r="B117" s="21" t="s">
        <v>1195</v>
      </c>
      <c r="C117" s="28">
        <v>20</v>
      </c>
      <c r="D117" s="29" t="s">
        <v>1424</v>
      </c>
      <c r="E117" s="79">
        <v>98</v>
      </c>
      <c r="F117" s="23" t="s">
        <v>1427</v>
      </c>
      <c r="G117" s="79">
        <v>112.14000000000001</v>
      </c>
      <c r="H117" s="1"/>
    </row>
    <row r="118" spans="2:8" ht="15.6" x14ac:dyDescent="0.25">
      <c r="B118" s="21" t="s">
        <v>1195</v>
      </c>
      <c r="C118" s="28">
        <v>25</v>
      </c>
      <c r="D118" s="29" t="s">
        <v>1428</v>
      </c>
      <c r="E118" s="79">
        <v>147</v>
      </c>
      <c r="F118" s="23" t="s">
        <v>1430</v>
      </c>
      <c r="G118" s="79">
        <v>165</v>
      </c>
      <c r="H118" s="1"/>
    </row>
    <row r="119" spans="2:8" ht="15.6" x14ac:dyDescent="0.25">
      <c r="B119" s="21" t="s">
        <v>1195</v>
      </c>
      <c r="C119" s="28">
        <v>32</v>
      </c>
      <c r="D119" s="29" t="s">
        <v>1431</v>
      </c>
      <c r="E119" s="79">
        <v>234</v>
      </c>
      <c r="F119" s="23" t="s">
        <v>1433</v>
      </c>
      <c r="G119" s="79">
        <v>264</v>
      </c>
      <c r="H119" s="1"/>
    </row>
    <row r="120" spans="2:8" ht="15.6" x14ac:dyDescent="0.25">
      <c r="B120" s="21" t="s">
        <v>1195</v>
      </c>
      <c r="C120" s="28">
        <v>40</v>
      </c>
      <c r="D120" s="29" t="s">
        <v>1434</v>
      </c>
      <c r="E120" s="79">
        <v>358</v>
      </c>
      <c r="F120" s="23" t="s">
        <v>1435</v>
      </c>
      <c r="G120" s="79">
        <v>390</v>
      </c>
      <c r="H120" s="1"/>
    </row>
    <row r="121" spans="2:8" ht="15.6" x14ac:dyDescent="0.25">
      <c r="B121" s="21" t="s">
        <v>1195</v>
      </c>
      <c r="C121" s="28">
        <v>50</v>
      </c>
      <c r="D121" s="29" t="s">
        <v>1437</v>
      </c>
      <c r="E121" s="79">
        <v>620</v>
      </c>
      <c r="F121" s="23" t="s">
        <v>1438</v>
      </c>
      <c r="G121" s="79">
        <v>608.40000000000009</v>
      </c>
      <c r="H121" s="1"/>
    </row>
    <row r="122" spans="2:8" ht="15.6" x14ac:dyDescent="0.25">
      <c r="B122" s="21" t="s">
        <v>1195</v>
      </c>
      <c r="C122" s="28">
        <v>63</v>
      </c>
      <c r="D122" s="29" t="s">
        <v>1440</v>
      </c>
      <c r="E122" s="79">
        <v>892</v>
      </c>
      <c r="F122" s="23" t="s">
        <v>1441</v>
      </c>
      <c r="G122" s="79">
        <v>915</v>
      </c>
      <c r="H122" s="1"/>
    </row>
    <row r="123" spans="2:8" ht="15.6" x14ac:dyDescent="0.25">
      <c r="B123" s="21" t="s">
        <v>1195</v>
      </c>
      <c r="C123" s="28">
        <v>75</v>
      </c>
      <c r="D123" s="29" t="s">
        <v>1442</v>
      </c>
      <c r="E123" s="79">
        <v>1240</v>
      </c>
      <c r="F123" s="23" t="s">
        <v>1444</v>
      </c>
      <c r="G123" s="79">
        <v>1305</v>
      </c>
      <c r="H123" s="1"/>
    </row>
    <row r="124" spans="2:8" ht="15.6" x14ac:dyDescent="0.25">
      <c r="B124" s="21" t="s">
        <v>1195</v>
      </c>
      <c r="C124" s="28">
        <v>90</v>
      </c>
      <c r="D124" s="29" t="s">
        <v>1445</v>
      </c>
      <c r="E124" s="79">
        <v>1748</v>
      </c>
      <c r="F124" s="23" t="s">
        <v>1447</v>
      </c>
      <c r="G124" s="79">
        <v>1860</v>
      </c>
      <c r="H124" s="1"/>
    </row>
    <row r="125" spans="2:8" ht="15.6" x14ac:dyDescent="0.25">
      <c r="B125" s="21" t="s">
        <v>1195</v>
      </c>
      <c r="C125" s="28">
        <v>110</v>
      </c>
      <c r="D125" s="29" t="s">
        <v>1448</v>
      </c>
      <c r="E125" s="79">
        <v>2670</v>
      </c>
      <c r="F125" s="23" t="s">
        <v>1449</v>
      </c>
      <c r="G125" s="79">
        <v>2775</v>
      </c>
      <c r="H125" s="1"/>
    </row>
    <row r="126" spans="2:8" ht="15.6" x14ac:dyDescent="0.25">
      <c r="B126" s="21" t="s">
        <v>1195</v>
      </c>
      <c r="C126" s="28">
        <v>125</v>
      </c>
      <c r="D126" s="29" t="s">
        <v>1451</v>
      </c>
      <c r="E126" s="79">
        <v>3340</v>
      </c>
      <c r="F126" s="23" t="s">
        <v>1452</v>
      </c>
      <c r="G126" s="79">
        <v>3600</v>
      </c>
    </row>
    <row r="127" spans="2:8" ht="15.6" x14ac:dyDescent="0.25">
      <c r="B127" s="21" t="s">
        <v>1195</v>
      </c>
      <c r="C127" s="28">
        <v>140</v>
      </c>
      <c r="D127" s="29" t="s">
        <v>1455</v>
      </c>
      <c r="E127" s="79">
        <v>4290</v>
      </c>
      <c r="F127" s="23" t="s">
        <v>1456</v>
      </c>
      <c r="G127" s="79">
        <v>4455</v>
      </c>
      <c r="H127" s="1"/>
    </row>
    <row r="128" spans="2:8" ht="15.6" x14ac:dyDescent="0.25">
      <c r="B128" s="21" t="s">
        <v>1195</v>
      </c>
      <c r="C128" s="28">
        <v>160</v>
      </c>
      <c r="D128" s="29" t="s">
        <v>1457</v>
      </c>
      <c r="E128" s="79">
        <v>5490</v>
      </c>
      <c r="F128" s="23" t="s">
        <v>1460</v>
      </c>
      <c r="G128" s="79">
        <v>5850</v>
      </c>
      <c r="H128" s="1"/>
    </row>
    <row r="129" spans="2:8" ht="15.6" x14ac:dyDescent="0.25">
      <c r="B129" s="21" t="s">
        <v>1195</v>
      </c>
      <c r="C129" s="28">
        <v>180</v>
      </c>
      <c r="D129" s="29" t="s">
        <v>1461</v>
      </c>
      <c r="E129" s="79">
        <v>6990</v>
      </c>
      <c r="F129" s="23" t="s">
        <v>1462</v>
      </c>
      <c r="G129" s="79">
        <v>7350</v>
      </c>
      <c r="H129" s="1"/>
    </row>
    <row r="130" spans="2:8" ht="15.6" x14ac:dyDescent="0.25">
      <c r="B130" s="21" t="s">
        <v>1195</v>
      </c>
      <c r="C130" s="28">
        <v>200</v>
      </c>
      <c r="D130" s="29" t="s">
        <v>1465</v>
      </c>
      <c r="E130" s="79">
        <v>8690</v>
      </c>
      <c r="F130" s="23" t="s">
        <v>1466</v>
      </c>
      <c r="G130" s="79">
        <v>9000</v>
      </c>
      <c r="H130" s="1"/>
    </row>
    <row r="131" spans="2:8" ht="13.2" x14ac:dyDescent="0.25">
      <c r="E131" s="76"/>
      <c r="F131" s="16"/>
      <c r="G131" s="18"/>
      <c r="H131" s="1"/>
    </row>
    <row r="132" spans="2:8" ht="13.2" x14ac:dyDescent="0.25">
      <c r="E132" s="76"/>
      <c r="F132" s="16"/>
      <c r="G132" s="18"/>
      <c r="H132" s="1"/>
    </row>
    <row r="133" spans="2:8" ht="13.2" x14ac:dyDescent="0.25">
      <c r="E133" s="76"/>
      <c r="F133" s="16"/>
      <c r="G133" s="18"/>
      <c r="H133" s="1"/>
    </row>
    <row r="134" spans="2:8" ht="13.2" x14ac:dyDescent="0.25">
      <c r="E134" s="76"/>
      <c r="F134" s="16"/>
      <c r="G134" s="18"/>
      <c r="H134" s="1"/>
    </row>
    <row r="135" spans="2:8" ht="13.2" x14ac:dyDescent="0.25">
      <c r="E135" s="76"/>
      <c r="F135" s="16"/>
      <c r="G135" s="18"/>
      <c r="H135" s="1"/>
    </row>
    <row r="136" spans="2:8" ht="13.2" x14ac:dyDescent="0.25">
      <c r="E136" s="76"/>
      <c r="F136" s="16"/>
      <c r="G136" s="18"/>
      <c r="H136" s="1"/>
    </row>
    <row r="137" spans="2:8" ht="13.2" x14ac:dyDescent="0.25">
      <c r="E137" s="76"/>
      <c r="F137" s="16"/>
      <c r="G137" s="18"/>
      <c r="H137" s="1"/>
    </row>
    <row r="138" spans="2:8" ht="13.2" x14ac:dyDescent="0.25">
      <c r="E138" s="76"/>
      <c r="F138" s="16"/>
      <c r="G138" s="18"/>
      <c r="H138" s="1"/>
    </row>
    <row r="139" spans="2:8" ht="13.2" x14ac:dyDescent="0.25">
      <c r="E139" s="76"/>
      <c r="F139" s="16"/>
      <c r="G139" s="18"/>
      <c r="H139" s="1"/>
    </row>
    <row r="140" spans="2:8" ht="13.2" x14ac:dyDescent="0.25">
      <c r="E140" s="76"/>
      <c r="F140" s="16"/>
      <c r="G140" s="18"/>
      <c r="H140" s="1"/>
    </row>
    <row r="141" spans="2:8" ht="13.2" x14ac:dyDescent="0.25">
      <c r="E141" s="76"/>
      <c r="F141" s="16"/>
      <c r="G141" s="18"/>
      <c r="H141" s="1"/>
    </row>
    <row r="142" spans="2:8" ht="13.2" x14ac:dyDescent="0.25">
      <c r="E142" s="76"/>
      <c r="F142" s="16"/>
      <c r="G142" s="18"/>
      <c r="H142" s="1"/>
    </row>
    <row r="143" spans="2:8" ht="13.2" x14ac:dyDescent="0.25">
      <c r="E143" s="76"/>
      <c r="F143" s="16"/>
      <c r="G143" s="18"/>
      <c r="H143" s="1"/>
    </row>
    <row r="144" spans="2:8" ht="13.2" x14ac:dyDescent="0.25">
      <c r="E144" s="76"/>
      <c r="F144" s="16"/>
      <c r="G144" s="18"/>
      <c r="H144" s="1"/>
    </row>
    <row r="145" spans="5:8" ht="13.2" x14ac:dyDescent="0.25">
      <c r="E145" s="76"/>
      <c r="F145" s="16"/>
      <c r="G145" s="18"/>
      <c r="H145" s="1"/>
    </row>
    <row r="146" spans="5:8" ht="13.2" x14ac:dyDescent="0.25">
      <c r="E146" s="76"/>
      <c r="F146" s="16"/>
      <c r="G146" s="18"/>
      <c r="H146" s="1"/>
    </row>
    <row r="147" spans="5:8" ht="13.2" x14ac:dyDescent="0.25">
      <c r="E147" s="76"/>
      <c r="F147" s="16"/>
      <c r="G147" s="18"/>
      <c r="H147" s="1"/>
    </row>
    <row r="148" spans="5:8" ht="13.2" x14ac:dyDescent="0.25">
      <c r="E148" s="76"/>
      <c r="F148" s="16"/>
      <c r="G148" s="18"/>
      <c r="H148" s="1"/>
    </row>
    <row r="149" spans="5:8" ht="13.2" x14ac:dyDescent="0.25">
      <c r="E149" s="76"/>
      <c r="F149" s="16"/>
      <c r="G149" s="18"/>
      <c r="H149" s="1"/>
    </row>
    <row r="150" spans="5:8" ht="13.2" x14ac:dyDescent="0.25">
      <c r="E150" s="76"/>
      <c r="F150" s="16"/>
      <c r="G150" s="18"/>
      <c r="H150" s="1"/>
    </row>
    <row r="151" spans="5:8" ht="13.2" x14ac:dyDescent="0.25">
      <c r="E151" s="76"/>
      <c r="F151" s="16"/>
      <c r="G151" s="18"/>
      <c r="H151" s="1"/>
    </row>
    <row r="152" spans="5:8" ht="13.2" x14ac:dyDescent="0.25">
      <c r="E152" s="76"/>
      <c r="F152" s="16"/>
      <c r="G152" s="18"/>
      <c r="H152" s="1"/>
    </row>
    <row r="153" spans="5:8" ht="13.2" x14ac:dyDescent="0.25">
      <c r="E153" s="76"/>
      <c r="F153" s="16"/>
      <c r="G153" s="18"/>
      <c r="H153" s="1"/>
    </row>
    <row r="154" spans="5:8" ht="13.2" x14ac:dyDescent="0.25">
      <c r="E154" s="76"/>
      <c r="F154" s="16"/>
      <c r="G154" s="18"/>
      <c r="H154" s="1"/>
    </row>
    <row r="155" spans="5:8" ht="13.2" x14ac:dyDescent="0.25">
      <c r="E155" s="76"/>
      <c r="F155" s="16"/>
      <c r="G155" s="18"/>
      <c r="H155" s="1"/>
    </row>
    <row r="156" spans="5:8" ht="13.2" x14ac:dyDescent="0.25">
      <c r="E156" s="76"/>
      <c r="F156" s="16"/>
      <c r="G156" s="18"/>
      <c r="H156" s="1"/>
    </row>
    <row r="157" spans="5:8" ht="13.2" x14ac:dyDescent="0.25">
      <c r="E157" s="76"/>
      <c r="F157" s="16"/>
      <c r="G157" s="18"/>
      <c r="H157" s="1"/>
    </row>
    <row r="158" spans="5:8" ht="13.2" x14ac:dyDescent="0.25">
      <c r="E158" s="76"/>
      <c r="F158" s="16"/>
      <c r="G158" s="18"/>
      <c r="H158" s="1"/>
    </row>
    <row r="159" spans="5:8" ht="13.2" x14ac:dyDescent="0.25">
      <c r="E159" s="76"/>
      <c r="F159" s="16"/>
      <c r="G159" s="18"/>
      <c r="H159" s="1"/>
    </row>
    <row r="160" spans="5:8" ht="13.2" x14ac:dyDescent="0.25">
      <c r="E160" s="76"/>
      <c r="F160" s="16"/>
      <c r="G160" s="18"/>
      <c r="H160" s="1"/>
    </row>
    <row r="161" spans="5:8" ht="13.2" x14ac:dyDescent="0.25">
      <c r="E161" s="76"/>
      <c r="F161" s="16"/>
      <c r="G161" s="18"/>
      <c r="H161" s="1"/>
    </row>
    <row r="162" spans="5:8" ht="13.2" x14ac:dyDescent="0.25">
      <c r="E162" s="76"/>
      <c r="F162" s="16"/>
      <c r="G162" s="18"/>
      <c r="H162" s="1"/>
    </row>
    <row r="163" spans="5:8" ht="13.2" x14ac:dyDescent="0.25">
      <c r="E163" s="76"/>
      <c r="F163" s="16"/>
      <c r="G163" s="18"/>
      <c r="H163" s="1"/>
    </row>
    <row r="164" spans="5:8" ht="13.2" x14ac:dyDescent="0.25">
      <c r="E164" s="76"/>
      <c r="F164" s="16"/>
      <c r="G164" s="18"/>
      <c r="H164" s="1"/>
    </row>
    <row r="165" spans="5:8" ht="13.2" x14ac:dyDescent="0.25">
      <c r="E165" s="76"/>
      <c r="F165" s="16"/>
      <c r="G165" s="18"/>
      <c r="H165" s="1"/>
    </row>
    <row r="166" spans="5:8" ht="13.2" x14ac:dyDescent="0.25">
      <c r="E166" s="76"/>
      <c r="F166" s="16"/>
      <c r="G166" s="18"/>
      <c r="H166" s="1"/>
    </row>
    <row r="167" spans="5:8" ht="13.2" x14ac:dyDescent="0.25">
      <c r="E167" s="76"/>
      <c r="F167" s="16"/>
      <c r="G167" s="18"/>
      <c r="H167" s="1"/>
    </row>
    <row r="168" spans="5:8" ht="13.2" x14ac:dyDescent="0.25">
      <c r="E168" s="76"/>
      <c r="F168" s="16"/>
      <c r="G168" s="18"/>
      <c r="H168" s="1"/>
    </row>
    <row r="169" spans="5:8" ht="13.2" x14ac:dyDescent="0.25">
      <c r="E169" s="76"/>
      <c r="F169" s="16"/>
      <c r="G169" s="18"/>
      <c r="H169" s="1"/>
    </row>
    <row r="170" spans="5:8" ht="13.2" x14ac:dyDescent="0.25">
      <c r="E170" s="76"/>
      <c r="F170" s="16"/>
      <c r="G170" s="18"/>
      <c r="H170" s="1"/>
    </row>
    <row r="171" spans="5:8" ht="13.2" x14ac:dyDescent="0.25">
      <c r="E171" s="76"/>
      <c r="F171" s="16"/>
      <c r="G171" s="18"/>
      <c r="H171" s="1"/>
    </row>
    <row r="172" spans="5:8" ht="13.2" x14ac:dyDescent="0.25">
      <c r="E172" s="76"/>
      <c r="F172" s="16"/>
      <c r="G172" s="18"/>
      <c r="H172" s="1"/>
    </row>
    <row r="173" spans="5:8" ht="13.2" x14ac:dyDescent="0.25">
      <c r="E173" s="76"/>
      <c r="F173" s="16"/>
      <c r="G173" s="18"/>
      <c r="H173" s="1"/>
    </row>
    <row r="174" spans="5:8" ht="13.2" x14ac:dyDescent="0.25">
      <c r="E174" s="76"/>
      <c r="F174" s="16"/>
      <c r="G174" s="18"/>
      <c r="H174" s="1"/>
    </row>
    <row r="175" spans="5:8" ht="13.2" x14ac:dyDescent="0.25">
      <c r="E175" s="76"/>
      <c r="F175" s="16"/>
      <c r="G175" s="18"/>
      <c r="H175" s="1"/>
    </row>
    <row r="176" spans="5:8" ht="13.2" x14ac:dyDescent="0.25">
      <c r="E176" s="76"/>
      <c r="F176" s="16"/>
      <c r="G176" s="18"/>
      <c r="H176" s="1"/>
    </row>
    <row r="177" spans="5:8" ht="13.2" x14ac:dyDescent="0.25">
      <c r="E177" s="76"/>
      <c r="F177" s="16"/>
      <c r="G177" s="18"/>
      <c r="H177" s="1"/>
    </row>
    <row r="178" spans="5:8" ht="13.2" x14ac:dyDescent="0.25">
      <c r="E178" s="76"/>
      <c r="F178" s="16"/>
      <c r="G178" s="18"/>
      <c r="H178" s="1"/>
    </row>
    <row r="179" spans="5:8" ht="13.2" x14ac:dyDescent="0.25">
      <c r="E179" s="76"/>
      <c r="F179" s="16"/>
      <c r="G179" s="18"/>
      <c r="H179" s="1"/>
    </row>
    <row r="180" spans="5:8" ht="13.2" x14ac:dyDescent="0.25">
      <c r="E180" s="76"/>
      <c r="F180" s="16"/>
      <c r="G180" s="18"/>
      <c r="H180" s="1"/>
    </row>
    <row r="181" spans="5:8" ht="13.2" x14ac:dyDescent="0.25">
      <c r="E181" s="76"/>
      <c r="F181" s="16"/>
      <c r="G181" s="18"/>
      <c r="H181" s="1"/>
    </row>
    <row r="182" spans="5:8" ht="13.2" x14ac:dyDescent="0.25">
      <c r="E182" s="76"/>
      <c r="F182" s="16"/>
      <c r="G182" s="18"/>
      <c r="H182" s="1"/>
    </row>
    <row r="183" spans="5:8" ht="13.2" x14ac:dyDescent="0.25">
      <c r="E183" s="76"/>
      <c r="F183" s="16"/>
      <c r="G183" s="18"/>
      <c r="H183" s="1"/>
    </row>
    <row r="184" spans="5:8" ht="13.2" x14ac:dyDescent="0.25">
      <c r="E184" s="76"/>
      <c r="F184" s="16"/>
      <c r="G184" s="18"/>
      <c r="H184" s="1"/>
    </row>
    <row r="185" spans="5:8" ht="13.2" x14ac:dyDescent="0.25">
      <c r="E185" s="76"/>
      <c r="F185" s="16"/>
      <c r="G185" s="18"/>
      <c r="H185" s="1"/>
    </row>
    <row r="186" spans="5:8" ht="13.2" x14ac:dyDescent="0.25">
      <c r="E186" s="76"/>
      <c r="F186" s="16"/>
      <c r="G186" s="18"/>
      <c r="H186" s="1"/>
    </row>
    <row r="187" spans="5:8" ht="13.2" x14ac:dyDescent="0.25">
      <c r="E187" s="76"/>
      <c r="F187" s="16"/>
      <c r="G187" s="18"/>
      <c r="H187" s="1"/>
    </row>
    <row r="188" spans="5:8" ht="13.2" x14ac:dyDescent="0.25">
      <c r="E188" s="76"/>
      <c r="F188" s="16"/>
      <c r="G188" s="18"/>
      <c r="H188" s="1"/>
    </row>
    <row r="189" spans="5:8" ht="13.2" x14ac:dyDescent="0.25">
      <c r="E189" s="76"/>
      <c r="F189" s="16"/>
      <c r="G189" s="18"/>
      <c r="H189" s="1"/>
    </row>
    <row r="190" spans="5:8" ht="13.2" x14ac:dyDescent="0.25">
      <c r="E190" s="76"/>
      <c r="F190" s="16"/>
      <c r="G190" s="18"/>
      <c r="H190" s="1"/>
    </row>
    <row r="191" spans="5:8" ht="13.2" x14ac:dyDescent="0.25">
      <c r="E191" s="76"/>
      <c r="F191" s="16"/>
      <c r="G191" s="18"/>
      <c r="H191" s="1"/>
    </row>
    <row r="192" spans="5:8" ht="13.2" x14ac:dyDescent="0.25">
      <c r="E192" s="76"/>
      <c r="F192" s="16"/>
      <c r="G192" s="18"/>
      <c r="H192" s="1"/>
    </row>
    <row r="193" spans="5:8" ht="13.2" x14ac:dyDescent="0.25">
      <c r="E193" s="76"/>
      <c r="F193" s="16"/>
      <c r="G193" s="18"/>
      <c r="H193" s="1"/>
    </row>
    <row r="194" spans="5:8" ht="13.2" x14ac:dyDescent="0.25">
      <c r="E194" s="76"/>
      <c r="F194" s="16"/>
      <c r="G194" s="18"/>
      <c r="H194" s="1"/>
    </row>
    <row r="195" spans="5:8" ht="13.2" x14ac:dyDescent="0.25">
      <c r="E195" s="76"/>
      <c r="F195" s="16"/>
      <c r="G195" s="18"/>
      <c r="H195" s="1"/>
    </row>
    <row r="196" spans="5:8" ht="13.2" x14ac:dyDescent="0.25">
      <c r="E196" s="76"/>
      <c r="F196" s="16"/>
      <c r="G196" s="18"/>
      <c r="H196" s="1"/>
    </row>
    <row r="197" spans="5:8" ht="13.2" x14ac:dyDescent="0.25">
      <c r="E197" s="76"/>
      <c r="F197" s="16"/>
      <c r="G197" s="18"/>
      <c r="H197" s="1"/>
    </row>
    <row r="198" spans="5:8" ht="13.2" x14ac:dyDescent="0.25">
      <c r="E198" s="76"/>
      <c r="F198" s="16"/>
      <c r="G198" s="18"/>
      <c r="H198" s="1"/>
    </row>
    <row r="199" spans="5:8" ht="13.2" x14ac:dyDescent="0.25">
      <c r="E199" s="76"/>
      <c r="F199" s="16"/>
      <c r="G199" s="18"/>
      <c r="H199" s="1"/>
    </row>
    <row r="200" spans="5:8" ht="13.2" x14ac:dyDescent="0.25">
      <c r="E200" s="76"/>
      <c r="F200" s="16"/>
      <c r="G200" s="18"/>
      <c r="H200" s="1"/>
    </row>
    <row r="201" spans="5:8" ht="13.2" x14ac:dyDescent="0.25">
      <c r="E201" s="76"/>
      <c r="F201" s="16"/>
      <c r="G201" s="18"/>
      <c r="H201" s="1"/>
    </row>
    <row r="202" spans="5:8" ht="13.2" x14ac:dyDescent="0.25">
      <c r="E202" s="76"/>
      <c r="F202" s="16"/>
      <c r="G202" s="18"/>
      <c r="H202" s="1"/>
    </row>
    <row r="203" spans="5:8" ht="13.2" x14ac:dyDescent="0.25">
      <c r="E203" s="76"/>
      <c r="F203" s="16"/>
      <c r="G203" s="18"/>
      <c r="H203" s="1"/>
    </row>
    <row r="204" spans="5:8" ht="13.2" x14ac:dyDescent="0.25">
      <c r="E204" s="76"/>
      <c r="F204" s="16"/>
      <c r="G204" s="18"/>
      <c r="H204" s="1"/>
    </row>
    <row r="205" spans="5:8" ht="13.2" x14ac:dyDescent="0.25">
      <c r="E205" s="76"/>
      <c r="F205" s="16"/>
      <c r="G205" s="18"/>
      <c r="H205" s="1"/>
    </row>
    <row r="206" spans="5:8" ht="13.2" x14ac:dyDescent="0.25">
      <c r="E206" s="76"/>
      <c r="F206" s="16"/>
      <c r="G206" s="18"/>
      <c r="H206" s="1"/>
    </row>
    <row r="207" spans="5:8" ht="13.2" x14ac:dyDescent="0.25">
      <c r="E207" s="76"/>
      <c r="F207" s="16"/>
      <c r="G207" s="18"/>
      <c r="H207" s="1"/>
    </row>
    <row r="208" spans="5:8" ht="13.2" x14ac:dyDescent="0.25">
      <c r="E208" s="76"/>
      <c r="F208" s="16"/>
      <c r="G208" s="18"/>
      <c r="H208" s="1"/>
    </row>
    <row r="209" spans="5:8" ht="13.2" x14ac:dyDescent="0.25">
      <c r="E209" s="76"/>
      <c r="F209" s="16"/>
      <c r="G209" s="18"/>
      <c r="H209" s="1"/>
    </row>
    <row r="210" spans="5:8" ht="13.2" x14ac:dyDescent="0.25">
      <c r="E210" s="76"/>
      <c r="F210" s="16"/>
      <c r="G210" s="18"/>
      <c r="H210" s="1"/>
    </row>
    <row r="211" spans="5:8" ht="13.2" x14ac:dyDescent="0.25">
      <c r="E211" s="76"/>
      <c r="F211" s="16"/>
      <c r="G211" s="18"/>
      <c r="H211" s="1"/>
    </row>
    <row r="212" spans="5:8" ht="13.2" x14ac:dyDescent="0.25">
      <c r="E212" s="76"/>
      <c r="F212" s="16"/>
      <c r="G212" s="18"/>
      <c r="H212" s="1"/>
    </row>
    <row r="213" spans="5:8" ht="13.2" x14ac:dyDescent="0.25">
      <c r="E213" s="76"/>
      <c r="F213" s="16"/>
      <c r="G213" s="18"/>
      <c r="H213" s="1"/>
    </row>
    <row r="214" spans="5:8" ht="13.2" x14ac:dyDescent="0.25">
      <c r="E214" s="76"/>
      <c r="F214" s="16"/>
      <c r="G214" s="18"/>
      <c r="H214" s="1"/>
    </row>
    <row r="215" spans="5:8" ht="13.2" x14ac:dyDescent="0.25">
      <c r="E215" s="76"/>
      <c r="F215" s="16"/>
      <c r="G215" s="18"/>
      <c r="H215" s="1"/>
    </row>
    <row r="216" spans="5:8" ht="13.2" x14ac:dyDescent="0.25">
      <c r="E216" s="76"/>
      <c r="F216" s="16"/>
      <c r="G216" s="18"/>
      <c r="H216" s="1"/>
    </row>
    <row r="217" spans="5:8" ht="13.2" x14ac:dyDescent="0.25">
      <c r="E217" s="76"/>
      <c r="F217" s="16"/>
      <c r="G217" s="18"/>
      <c r="H217" s="1"/>
    </row>
    <row r="218" spans="5:8" ht="13.2" x14ac:dyDescent="0.25">
      <c r="E218" s="76"/>
      <c r="F218" s="16"/>
      <c r="G218" s="18"/>
      <c r="H218" s="1"/>
    </row>
    <row r="219" spans="5:8" ht="13.2" x14ac:dyDescent="0.25">
      <c r="E219" s="76"/>
      <c r="F219" s="16"/>
      <c r="G219" s="18"/>
      <c r="H219" s="1"/>
    </row>
    <row r="220" spans="5:8" ht="13.2" x14ac:dyDescent="0.25">
      <c r="E220" s="76"/>
      <c r="F220" s="16"/>
      <c r="G220" s="18"/>
      <c r="H220" s="1"/>
    </row>
    <row r="221" spans="5:8" ht="13.2" x14ac:dyDescent="0.25">
      <c r="E221" s="76"/>
      <c r="F221" s="16"/>
      <c r="G221" s="18"/>
      <c r="H221" s="1"/>
    </row>
    <row r="222" spans="5:8" ht="13.2" x14ac:dyDescent="0.25">
      <c r="E222" s="76"/>
      <c r="F222" s="16"/>
      <c r="G222" s="18"/>
      <c r="H222" s="1"/>
    </row>
    <row r="223" spans="5:8" ht="13.2" x14ac:dyDescent="0.25">
      <c r="E223" s="76"/>
      <c r="F223" s="16"/>
      <c r="G223" s="18"/>
      <c r="H223" s="1"/>
    </row>
    <row r="224" spans="5:8" ht="13.2" x14ac:dyDescent="0.25">
      <c r="E224" s="76"/>
      <c r="F224" s="16"/>
      <c r="G224" s="18"/>
      <c r="H224" s="1"/>
    </row>
    <row r="225" spans="5:8" ht="13.2" x14ac:dyDescent="0.25">
      <c r="E225" s="76"/>
      <c r="F225" s="16"/>
      <c r="G225" s="18"/>
      <c r="H225" s="1"/>
    </row>
    <row r="226" spans="5:8" ht="13.2" x14ac:dyDescent="0.25">
      <c r="E226" s="76"/>
      <c r="F226" s="16"/>
      <c r="G226" s="18"/>
      <c r="H226" s="1"/>
    </row>
    <row r="227" spans="5:8" ht="13.2" x14ac:dyDescent="0.25">
      <c r="E227" s="76"/>
      <c r="F227" s="16"/>
      <c r="G227" s="18"/>
      <c r="H227" s="1"/>
    </row>
    <row r="228" spans="5:8" ht="13.2" x14ac:dyDescent="0.25">
      <c r="E228" s="76"/>
      <c r="F228" s="16"/>
      <c r="G228" s="18"/>
      <c r="H228" s="1"/>
    </row>
    <row r="229" spans="5:8" ht="13.2" x14ac:dyDescent="0.25">
      <c r="E229" s="76"/>
      <c r="F229" s="16"/>
      <c r="G229" s="18"/>
      <c r="H229" s="1"/>
    </row>
    <row r="230" spans="5:8" ht="13.2" x14ac:dyDescent="0.25">
      <c r="E230" s="76"/>
      <c r="F230" s="16"/>
      <c r="G230" s="18"/>
      <c r="H230" s="1"/>
    </row>
    <row r="231" spans="5:8" ht="13.2" x14ac:dyDescent="0.25">
      <c r="E231" s="76"/>
      <c r="F231" s="16"/>
      <c r="G231" s="18"/>
      <c r="H231" s="1"/>
    </row>
    <row r="232" spans="5:8" ht="13.2" x14ac:dyDescent="0.25">
      <c r="E232" s="76"/>
      <c r="F232" s="16"/>
      <c r="G232" s="18"/>
      <c r="H232" s="1"/>
    </row>
    <row r="233" spans="5:8" ht="13.2" x14ac:dyDescent="0.25">
      <c r="E233" s="76"/>
      <c r="F233" s="16"/>
      <c r="G233" s="18"/>
      <c r="H233" s="1"/>
    </row>
    <row r="234" spans="5:8" ht="13.2" x14ac:dyDescent="0.25">
      <c r="E234" s="76"/>
      <c r="F234" s="16"/>
      <c r="G234" s="18"/>
      <c r="H234" s="1"/>
    </row>
    <row r="235" spans="5:8" ht="13.2" x14ac:dyDescent="0.25">
      <c r="E235" s="76"/>
      <c r="F235" s="16"/>
      <c r="G235" s="18"/>
      <c r="H235" s="1"/>
    </row>
    <row r="236" spans="5:8" ht="13.2" x14ac:dyDescent="0.25">
      <c r="E236" s="76"/>
      <c r="F236" s="16"/>
      <c r="G236" s="18"/>
      <c r="H236" s="1"/>
    </row>
    <row r="237" spans="5:8" ht="13.2" x14ac:dyDescent="0.25">
      <c r="E237" s="76"/>
      <c r="F237" s="16"/>
      <c r="G237" s="18"/>
      <c r="H237" s="1"/>
    </row>
    <row r="238" spans="5:8" ht="13.2" x14ac:dyDescent="0.25">
      <c r="E238" s="76"/>
      <c r="F238" s="16"/>
      <c r="G238" s="18"/>
      <c r="H238" s="1"/>
    </row>
    <row r="239" spans="5:8" ht="13.2" x14ac:dyDescent="0.25">
      <c r="E239" s="76"/>
      <c r="F239" s="16"/>
      <c r="G239" s="18"/>
      <c r="H239" s="1"/>
    </row>
    <row r="240" spans="5:8" ht="13.2" x14ac:dyDescent="0.25">
      <c r="E240" s="76"/>
      <c r="F240" s="16"/>
      <c r="G240" s="18"/>
      <c r="H240" s="1"/>
    </row>
    <row r="241" spans="5:8" ht="13.2" x14ac:dyDescent="0.25">
      <c r="E241" s="76"/>
      <c r="F241" s="16"/>
      <c r="G241" s="18"/>
      <c r="H241" s="1"/>
    </row>
    <row r="242" spans="5:8" ht="13.2" x14ac:dyDescent="0.25">
      <c r="E242" s="76"/>
      <c r="F242" s="16"/>
      <c r="G242" s="18"/>
      <c r="H242" s="1"/>
    </row>
    <row r="243" spans="5:8" ht="13.2" x14ac:dyDescent="0.25">
      <c r="E243" s="76"/>
      <c r="F243" s="16"/>
      <c r="G243" s="18"/>
      <c r="H243" s="1"/>
    </row>
    <row r="244" spans="5:8" ht="13.2" x14ac:dyDescent="0.25">
      <c r="E244" s="76"/>
      <c r="F244" s="16"/>
      <c r="G244" s="18"/>
      <c r="H244" s="1"/>
    </row>
    <row r="245" spans="5:8" ht="13.2" x14ac:dyDescent="0.25">
      <c r="E245" s="76"/>
      <c r="F245" s="16"/>
      <c r="G245" s="18"/>
      <c r="H245" s="1"/>
    </row>
    <row r="246" spans="5:8" ht="13.2" x14ac:dyDescent="0.25">
      <c r="E246" s="76"/>
      <c r="F246" s="16"/>
      <c r="G246" s="18"/>
      <c r="H246" s="1"/>
    </row>
    <row r="247" spans="5:8" ht="13.2" x14ac:dyDescent="0.25">
      <c r="E247" s="76"/>
      <c r="F247" s="16"/>
      <c r="G247" s="18"/>
      <c r="H247" s="1"/>
    </row>
    <row r="248" spans="5:8" ht="13.2" x14ac:dyDescent="0.25">
      <c r="E248" s="76"/>
      <c r="F248" s="16"/>
      <c r="G248" s="18"/>
      <c r="H248" s="1"/>
    </row>
    <row r="249" spans="5:8" ht="13.2" x14ac:dyDescent="0.25">
      <c r="E249" s="76"/>
      <c r="F249" s="16"/>
      <c r="G249" s="18"/>
      <c r="H249" s="1"/>
    </row>
    <row r="250" spans="5:8" ht="13.2" x14ac:dyDescent="0.25">
      <c r="E250" s="76"/>
      <c r="F250" s="16"/>
      <c r="G250" s="18"/>
      <c r="H250" s="1"/>
    </row>
    <row r="251" spans="5:8" ht="13.2" x14ac:dyDescent="0.25">
      <c r="E251" s="76"/>
      <c r="F251" s="16"/>
      <c r="G251" s="18"/>
      <c r="H251" s="1"/>
    </row>
    <row r="252" spans="5:8" ht="13.2" x14ac:dyDescent="0.25">
      <c r="E252" s="76"/>
      <c r="F252" s="16"/>
      <c r="G252" s="18"/>
      <c r="H252" s="1"/>
    </row>
    <row r="253" spans="5:8" ht="13.2" x14ac:dyDescent="0.25">
      <c r="E253" s="76"/>
      <c r="F253" s="16"/>
      <c r="G253" s="18"/>
      <c r="H253" s="1"/>
    </row>
    <row r="254" spans="5:8" ht="13.2" x14ac:dyDescent="0.25">
      <c r="E254" s="76"/>
      <c r="F254" s="16"/>
      <c r="G254" s="18"/>
      <c r="H254" s="1"/>
    </row>
    <row r="255" spans="5:8" ht="13.2" x14ac:dyDescent="0.25">
      <c r="E255" s="76"/>
      <c r="F255" s="16"/>
      <c r="G255" s="18"/>
      <c r="H255" s="1"/>
    </row>
    <row r="256" spans="5:8" ht="13.2" x14ac:dyDescent="0.25">
      <c r="E256" s="76"/>
      <c r="F256" s="16"/>
      <c r="G256" s="18"/>
      <c r="H256" s="1"/>
    </row>
    <row r="257" spans="5:8" ht="13.2" x14ac:dyDescent="0.25">
      <c r="E257" s="76"/>
      <c r="F257" s="16"/>
      <c r="G257" s="18"/>
      <c r="H257" s="1"/>
    </row>
    <row r="258" spans="5:8" ht="13.2" x14ac:dyDescent="0.25">
      <c r="E258" s="76"/>
      <c r="F258" s="16"/>
      <c r="G258" s="18"/>
      <c r="H258" s="1"/>
    </row>
    <row r="259" spans="5:8" ht="13.2" x14ac:dyDescent="0.25">
      <c r="E259" s="76"/>
      <c r="F259" s="16"/>
      <c r="G259" s="18"/>
      <c r="H259" s="1"/>
    </row>
    <row r="260" spans="5:8" ht="13.2" x14ac:dyDescent="0.25">
      <c r="E260" s="76"/>
      <c r="F260" s="16"/>
      <c r="G260" s="18"/>
      <c r="H260" s="1"/>
    </row>
    <row r="261" spans="5:8" ht="13.2" x14ac:dyDescent="0.25">
      <c r="E261" s="76"/>
      <c r="F261" s="16"/>
      <c r="G261" s="18"/>
      <c r="H261" s="1"/>
    </row>
    <row r="262" spans="5:8" ht="13.2" x14ac:dyDescent="0.25">
      <c r="E262" s="76"/>
      <c r="F262" s="16"/>
      <c r="G262" s="18"/>
      <c r="H262" s="1"/>
    </row>
    <row r="263" spans="5:8" ht="13.2" x14ac:dyDescent="0.25">
      <c r="E263" s="76"/>
      <c r="F263" s="16"/>
      <c r="G263" s="18"/>
      <c r="H263" s="1"/>
    </row>
    <row r="264" spans="5:8" ht="13.2" x14ac:dyDescent="0.25">
      <c r="E264" s="76"/>
      <c r="F264" s="16"/>
      <c r="G264" s="18"/>
      <c r="H264" s="1"/>
    </row>
    <row r="265" spans="5:8" ht="13.2" x14ac:dyDescent="0.25">
      <c r="E265" s="76"/>
      <c r="F265" s="16"/>
      <c r="G265" s="18"/>
      <c r="H265" s="1"/>
    </row>
    <row r="266" spans="5:8" ht="13.2" x14ac:dyDescent="0.25">
      <c r="E266" s="76"/>
      <c r="F266" s="16"/>
      <c r="G266" s="18"/>
      <c r="H266" s="1"/>
    </row>
    <row r="267" spans="5:8" ht="13.2" x14ac:dyDescent="0.25">
      <c r="E267" s="76"/>
      <c r="F267" s="16"/>
      <c r="G267" s="18"/>
      <c r="H267" s="1"/>
    </row>
    <row r="268" spans="5:8" ht="13.2" x14ac:dyDescent="0.25">
      <c r="E268" s="76"/>
      <c r="F268" s="16"/>
      <c r="G268" s="18"/>
      <c r="H268" s="1"/>
    </row>
    <row r="269" spans="5:8" ht="13.2" x14ac:dyDescent="0.25">
      <c r="E269" s="76"/>
      <c r="F269" s="16"/>
      <c r="G269" s="18"/>
      <c r="H269" s="1"/>
    </row>
    <row r="270" spans="5:8" ht="13.2" x14ac:dyDescent="0.25">
      <c r="E270" s="76"/>
      <c r="F270" s="16"/>
      <c r="G270" s="18"/>
      <c r="H270" s="1"/>
    </row>
    <row r="271" spans="5:8" ht="13.2" x14ac:dyDescent="0.25">
      <c r="E271" s="76"/>
      <c r="F271" s="16"/>
      <c r="G271" s="18"/>
      <c r="H271" s="1"/>
    </row>
    <row r="272" spans="5:8" ht="13.2" x14ac:dyDescent="0.25">
      <c r="E272" s="76"/>
      <c r="F272" s="16"/>
      <c r="G272" s="18"/>
      <c r="H272" s="1"/>
    </row>
    <row r="273" spans="5:8" ht="13.2" x14ac:dyDescent="0.25">
      <c r="E273" s="76"/>
      <c r="F273" s="16"/>
      <c r="G273" s="18"/>
      <c r="H273" s="1"/>
    </row>
    <row r="274" spans="5:8" ht="13.2" x14ac:dyDescent="0.25">
      <c r="E274" s="76"/>
      <c r="F274" s="16"/>
      <c r="G274" s="18"/>
      <c r="H274" s="1"/>
    </row>
    <row r="275" spans="5:8" ht="13.2" x14ac:dyDescent="0.25">
      <c r="E275" s="76"/>
      <c r="F275" s="16"/>
      <c r="G275" s="18"/>
      <c r="H275" s="1"/>
    </row>
    <row r="276" spans="5:8" ht="13.2" x14ac:dyDescent="0.25">
      <c r="E276" s="76"/>
      <c r="F276" s="16"/>
      <c r="G276" s="18"/>
      <c r="H276" s="1"/>
    </row>
    <row r="277" spans="5:8" ht="13.2" x14ac:dyDescent="0.25">
      <c r="E277" s="76"/>
      <c r="F277" s="16"/>
      <c r="G277" s="18"/>
      <c r="H277" s="1"/>
    </row>
    <row r="278" spans="5:8" ht="13.2" x14ac:dyDescent="0.25">
      <c r="E278" s="76"/>
      <c r="F278" s="16"/>
      <c r="G278" s="18"/>
      <c r="H278" s="1"/>
    </row>
    <row r="279" spans="5:8" ht="13.2" x14ac:dyDescent="0.25">
      <c r="E279" s="76"/>
      <c r="F279" s="16"/>
      <c r="G279" s="18"/>
      <c r="H279" s="1"/>
    </row>
    <row r="280" spans="5:8" ht="13.2" x14ac:dyDescent="0.25">
      <c r="E280" s="76"/>
      <c r="F280" s="16"/>
      <c r="G280" s="18"/>
      <c r="H280" s="1"/>
    </row>
    <row r="281" spans="5:8" ht="13.2" x14ac:dyDescent="0.25">
      <c r="E281" s="76"/>
      <c r="F281" s="16"/>
      <c r="G281" s="18"/>
      <c r="H281" s="1"/>
    </row>
    <row r="282" spans="5:8" ht="13.2" x14ac:dyDescent="0.25">
      <c r="E282" s="76"/>
      <c r="F282" s="16"/>
      <c r="G282" s="18"/>
      <c r="H282" s="1"/>
    </row>
    <row r="283" spans="5:8" ht="13.2" x14ac:dyDescent="0.25">
      <c r="E283" s="76"/>
      <c r="F283" s="16"/>
      <c r="G283" s="18"/>
      <c r="H283" s="1"/>
    </row>
    <row r="284" spans="5:8" ht="13.2" x14ac:dyDescent="0.25">
      <c r="E284" s="76"/>
      <c r="F284" s="16"/>
      <c r="G284" s="18"/>
      <c r="H284" s="1"/>
    </row>
    <row r="285" spans="5:8" ht="13.2" x14ac:dyDescent="0.25">
      <c r="E285" s="76"/>
      <c r="F285" s="16"/>
      <c r="G285" s="18"/>
      <c r="H285" s="1"/>
    </row>
    <row r="286" spans="5:8" ht="13.2" x14ac:dyDescent="0.25">
      <c r="E286" s="76"/>
      <c r="F286" s="16"/>
      <c r="G286" s="18"/>
      <c r="H286" s="1"/>
    </row>
    <row r="287" spans="5:8" ht="13.2" x14ac:dyDescent="0.25">
      <c r="E287" s="76"/>
      <c r="F287" s="16"/>
      <c r="G287" s="18"/>
      <c r="H287" s="1"/>
    </row>
    <row r="288" spans="5:8" ht="13.2" x14ac:dyDescent="0.25">
      <c r="E288" s="76"/>
      <c r="F288" s="16"/>
      <c r="G288" s="18"/>
      <c r="H288" s="1"/>
    </row>
    <row r="289" spans="5:8" ht="13.2" x14ac:dyDescent="0.25">
      <c r="E289" s="76"/>
      <c r="F289" s="16"/>
      <c r="G289" s="18"/>
      <c r="H289" s="1"/>
    </row>
    <row r="290" spans="5:8" ht="13.2" x14ac:dyDescent="0.25">
      <c r="E290" s="76"/>
      <c r="F290" s="16"/>
      <c r="G290" s="18"/>
      <c r="H290" s="1"/>
    </row>
    <row r="291" spans="5:8" ht="13.2" x14ac:dyDescent="0.25">
      <c r="E291" s="76"/>
      <c r="F291" s="16"/>
      <c r="G291" s="18"/>
      <c r="H291" s="1"/>
    </row>
    <row r="292" spans="5:8" ht="13.2" x14ac:dyDescent="0.25">
      <c r="E292" s="76"/>
      <c r="F292" s="16"/>
      <c r="G292" s="18"/>
      <c r="H292" s="1"/>
    </row>
    <row r="293" spans="5:8" ht="13.2" x14ac:dyDescent="0.25">
      <c r="E293" s="76"/>
      <c r="F293" s="16"/>
      <c r="G293" s="18"/>
      <c r="H293" s="1"/>
    </row>
    <row r="294" spans="5:8" ht="13.2" x14ac:dyDescent="0.25">
      <c r="E294" s="76"/>
      <c r="F294" s="16"/>
      <c r="G294" s="18"/>
      <c r="H294" s="1"/>
    </row>
    <row r="295" spans="5:8" ht="13.2" x14ac:dyDescent="0.25">
      <c r="E295" s="76"/>
      <c r="F295" s="16"/>
      <c r="G295" s="18"/>
      <c r="H295" s="1"/>
    </row>
    <row r="296" spans="5:8" ht="13.2" x14ac:dyDescent="0.25">
      <c r="E296" s="76"/>
      <c r="F296" s="16"/>
      <c r="G296" s="18"/>
      <c r="H296" s="1"/>
    </row>
    <row r="297" spans="5:8" ht="13.2" x14ac:dyDescent="0.25">
      <c r="E297" s="76"/>
      <c r="F297" s="16"/>
      <c r="G297" s="18"/>
      <c r="H297" s="1"/>
    </row>
    <row r="298" spans="5:8" ht="13.2" x14ac:dyDescent="0.25">
      <c r="E298" s="76"/>
      <c r="F298" s="16"/>
      <c r="G298" s="18"/>
      <c r="H298" s="1"/>
    </row>
    <row r="299" spans="5:8" ht="13.2" x14ac:dyDescent="0.25">
      <c r="E299" s="76"/>
      <c r="F299" s="16"/>
      <c r="G299" s="18"/>
      <c r="H299" s="1"/>
    </row>
    <row r="300" spans="5:8" ht="13.2" x14ac:dyDescent="0.25">
      <c r="E300" s="76"/>
      <c r="F300" s="16"/>
      <c r="G300" s="18"/>
      <c r="H300" s="1"/>
    </row>
    <row r="301" spans="5:8" ht="13.2" x14ac:dyDescent="0.25">
      <c r="E301" s="76"/>
      <c r="F301" s="16"/>
      <c r="G301" s="18"/>
      <c r="H301" s="1"/>
    </row>
    <row r="302" spans="5:8" ht="13.2" x14ac:dyDescent="0.25">
      <c r="E302" s="76"/>
      <c r="F302" s="16"/>
      <c r="G302" s="18"/>
      <c r="H302" s="1"/>
    </row>
    <row r="303" spans="5:8" ht="13.2" x14ac:dyDescent="0.25">
      <c r="E303" s="76"/>
      <c r="F303" s="16"/>
      <c r="G303" s="18"/>
      <c r="H303" s="1"/>
    </row>
    <row r="304" spans="5:8" ht="13.2" x14ac:dyDescent="0.25">
      <c r="E304" s="76"/>
      <c r="F304" s="16"/>
      <c r="G304" s="18"/>
      <c r="H304" s="1"/>
    </row>
    <row r="305" spans="5:8" ht="13.2" x14ac:dyDescent="0.25">
      <c r="E305" s="76"/>
      <c r="F305" s="16"/>
      <c r="G305" s="18"/>
      <c r="H305" s="1"/>
    </row>
    <row r="306" spans="5:8" ht="13.2" x14ac:dyDescent="0.25">
      <c r="E306" s="76"/>
      <c r="F306" s="16"/>
      <c r="G306" s="18"/>
      <c r="H306" s="1"/>
    </row>
    <row r="307" spans="5:8" ht="13.2" x14ac:dyDescent="0.25">
      <c r="E307" s="76"/>
      <c r="F307" s="16"/>
      <c r="G307" s="18"/>
      <c r="H307" s="1"/>
    </row>
    <row r="308" spans="5:8" ht="13.2" x14ac:dyDescent="0.25">
      <c r="E308" s="76"/>
      <c r="F308" s="16"/>
      <c r="G308" s="18"/>
      <c r="H308" s="1"/>
    </row>
    <row r="309" spans="5:8" ht="13.2" x14ac:dyDescent="0.25">
      <c r="E309" s="76"/>
      <c r="F309" s="16"/>
      <c r="G309" s="18"/>
      <c r="H309" s="1"/>
    </row>
    <row r="310" spans="5:8" ht="13.2" x14ac:dyDescent="0.25">
      <c r="E310" s="76"/>
      <c r="F310" s="16"/>
      <c r="G310" s="18"/>
      <c r="H310" s="1"/>
    </row>
    <row r="311" spans="5:8" ht="13.2" x14ac:dyDescent="0.25">
      <c r="E311" s="76"/>
      <c r="F311" s="16"/>
      <c r="G311" s="18"/>
      <c r="H311" s="1"/>
    </row>
    <row r="312" spans="5:8" ht="13.2" x14ac:dyDescent="0.25">
      <c r="E312" s="76"/>
      <c r="F312" s="16"/>
      <c r="G312" s="18"/>
      <c r="H312" s="1"/>
    </row>
    <row r="313" spans="5:8" ht="13.2" x14ac:dyDescent="0.25">
      <c r="E313" s="76"/>
      <c r="F313" s="16"/>
      <c r="G313" s="18"/>
      <c r="H313" s="1"/>
    </row>
    <row r="314" spans="5:8" ht="13.2" x14ac:dyDescent="0.25">
      <c r="E314" s="76"/>
      <c r="F314" s="16"/>
      <c r="G314" s="18"/>
      <c r="H314" s="1"/>
    </row>
    <row r="315" spans="5:8" ht="13.2" x14ac:dyDescent="0.25">
      <c r="E315" s="76"/>
      <c r="F315" s="16"/>
      <c r="G315" s="18"/>
      <c r="H315" s="1"/>
    </row>
    <row r="316" spans="5:8" ht="13.2" x14ac:dyDescent="0.25">
      <c r="E316" s="76"/>
      <c r="F316" s="16"/>
      <c r="G316" s="18"/>
      <c r="H316" s="1"/>
    </row>
    <row r="317" spans="5:8" ht="13.2" x14ac:dyDescent="0.25">
      <c r="E317" s="76"/>
      <c r="F317" s="16"/>
      <c r="G317" s="18"/>
      <c r="H317" s="1"/>
    </row>
    <row r="318" spans="5:8" ht="13.2" x14ac:dyDescent="0.25">
      <c r="E318" s="76"/>
      <c r="F318" s="16"/>
      <c r="G318" s="18"/>
      <c r="H318" s="1"/>
    </row>
    <row r="319" spans="5:8" ht="13.2" x14ac:dyDescent="0.25">
      <c r="E319" s="76"/>
      <c r="F319" s="16"/>
      <c r="G319" s="18"/>
      <c r="H319" s="1"/>
    </row>
    <row r="320" spans="5:8" ht="13.2" x14ac:dyDescent="0.25">
      <c r="E320" s="76"/>
      <c r="F320" s="16"/>
      <c r="G320" s="18"/>
      <c r="H320" s="1"/>
    </row>
    <row r="321" spans="5:8" ht="13.2" x14ac:dyDescent="0.25">
      <c r="E321" s="76"/>
      <c r="F321" s="16"/>
      <c r="G321" s="18"/>
      <c r="H321" s="1"/>
    </row>
    <row r="322" spans="5:8" ht="13.2" x14ac:dyDescent="0.25">
      <c r="E322" s="76"/>
      <c r="F322" s="16"/>
      <c r="G322" s="18"/>
      <c r="H322" s="1"/>
    </row>
    <row r="323" spans="5:8" ht="13.2" x14ac:dyDescent="0.25">
      <c r="E323" s="76"/>
      <c r="F323" s="16"/>
      <c r="G323" s="18"/>
      <c r="H323" s="1"/>
    </row>
    <row r="324" spans="5:8" ht="13.2" x14ac:dyDescent="0.25">
      <c r="E324" s="76"/>
      <c r="F324" s="16"/>
      <c r="G324" s="18"/>
      <c r="H324" s="1"/>
    </row>
    <row r="325" spans="5:8" ht="13.2" x14ac:dyDescent="0.25">
      <c r="E325" s="76"/>
      <c r="F325" s="16"/>
      <c r="G325" s="18"/>
      <c r="H325" s="1"/>
    </row>
    <row r="326" spans="5:8" ht="13.2" x14ac:dyDescent="0.25">
      <c r="E326" s="76"/>
      <c r="F326" s="16"/>
      <c r="G326" s="18"/>
      <c r="H326" s="1"/>
    </row>
    <row r="327" spans="5:8" ht="13.2" x14ac:dyDescent="0.25">
      <c r="E327" s="76"/>
      <c r="F327" s="16"/>
      <c r="G327" s="18"/>
      <c r="H327" s="1"/>
    </row>
    <row r="328" spans="5:8" ht="13.2" x14ac:dyDescent="0.25">
      <c r="E328" s="76"/>
      <c r="F328" s="16"/>
      <c r="G328" s="18"/>
      <c r="H328" s="1"/>
    </row>
    <row r="329" spans="5:8" ht="13.2" x14ac:dyDescent="0.25">
      <c r="E329" s="76"/>
      <c r="F329" s="16"/>
      <c r="G329" s="18"/>
      <c r="H329" s="1"/>
    </row>
    <row r="330" spans="5:8" ht="13.2" x14ac:dyDescent="0.25">
      <c r="E330" s="76"/>
      <c r="F330" s="16"/>
      <c r="G330" s="18"/>
      <c r="H330" s="1"/>
    </row>
    <row r="331" spans="5:8" ht="13.2" x14ac:dyDescent="0.25">
      <c r="E331" s="76"/>
      <c r="F331" s="16"/>
      <c r="G331" s="18"/>
      <c r="H331" s="1"/>
    </row>
    <row r="332" spans="5:8" ht="13.2" x14ac:dyDescent="0.25">
      <c r="E332" s="76"/>
      <c r="F332" s="16"/>
      <c r="G332" s="18"/>
      <c r="H332" s="1"/>
    </row>
    <row r="333" spans="5:8" ht="13.2" x14ac:dyDescent="0.25">
      <c r="E333" s="76"/>
      <c r="F333" s="16"/>
      <c r="G333" s="18"/>
      <c r="H333" s="1"/>
    </row>
    <row r="334" spans="5:8" ht="13.2" x14ac:dyDescent="0.25">
      <c r="E334" s="76"/>
      <c r="F334" s="16"/>
      <c r="G334" s="18"/>
      <c r="H334" s="1"/>
    </row>
    <row r="335" spans="5:8" ht="13.2" x14ac:dyDescent="0.25">
      <c r="E335" s="76"/>
      <c r="F335" s="16"/>
      <c r="G335" s="18"/>
      <c r="H335" s="1"/>
    </row>
    <row r="336" spans="5:8" ht="13.2" x14ac:dyDescent="0.25">
      <c r="E336" s="76"/>
      <c r="F336" s="16"/>
      <c r="G336" s="18"/>
      <c r="H336" s="1"/>
    </row>
    <row r="337" spans="5:8" ht="13.2" x14ac:dyDescent="0.25">
      <c r="E337" s="76"/>
      <c r="F337" s="16"/>
      <c r="G337" s="18"/>
      <c r="H337" s="1"/>
    </row>
    <row r="338" spans="5:8" ht="13.2" x14ac:dyDescent="0.25">
      <c r="E338" s="76"/>
      <c r="F338" s="16"/>
      <c r="G338" s="18"/>
      <c r="H338" s="1"/>
    </row>
    <row r="339" spans="5:8" ht="13.2" x14ac:dyDescent="0.25">
      <c r="E339" s="76"/>
      <c r="F339" s="16"/>
      <c r="G339" s="18"/>
      <c r="H339" s="1"/>
    </row>
    <row r="340" spans="5:8" ht="13.2" x14ac:dyDescent="0.25">
      <c r="E340" s="76"/>
      <c r="F340" s="16"/>
      <c r="G340" s="18"/>
      <c r="H340" s="1"/>
    </row>
    <row r="341" spans="5:8" ht="13.2" x14ac:dyDescent="0.25">
      <c r="E341" s="76"/>
      <c r="F341" s="16"/>
      <c r="G341" s="18"/>
      <c r="H341" s="1"/>
    </row>
    <row r="342" spans="5:8" ht="13.2" x14ac:dyDescent="0.25">
      <c r="E342" s="76"/>
      <c r="F342" s="16"/>
      <c r="G342" s="18"/>
      <c r="H342" s="1"/>
    </row>
    <row r="343" spans="5:8" ht="13.2" x14ac:dyDescent="0.25">
      <c r="E343" s="76"/>
      <c r="F343" s="16"/>
      <c r="G343" s="18"/>
      <c r="H343" s="1"/>
    </row>
    <row r="344" spans="5:8" ht="13.2" x14ac:dyDescent="0.25">
      <c r="E344" s="76"/>
      <c r="F344" s="16"/>
      <c r="G344" s="18"/>
      <c r="H344" s="1"/>
    </row>
    <row r="345" spans="5:8" ht="13.2" x14ac:dyDescent="0.25">
      <c r="E345" s="76"/>
      <c r="F345" s="16"/>
      <c r="G345" s="18"/>
      <c r="H345" s="1"/>
    </row>
    <row r="346" spans="5:8" ht="13.2" x14ac:dyDescent="0.25">
      <c r="E346" s="76"/>
      <c r="F346" s="16"/>
      <c r="G346" s="18"/>
      <c r="H346" s="1"/>
    </row>
    <row r="347" spans="5:8" ht="13.2" x14ac:dyDescent="0.25">
      <c r="E347" s="76"/>
      <c r="F347" s="16"/>
      <c r="G347" s="18"/>
      <c r="H347" s="1"/>
    </row>
    <row r="348" spans="5:8" ht="13.2" x14ac:dyDescent="0.25">
      <c r="E348" s="76"/>
      <c r="F348" s="16"/>
      <c r="G348" s="18"/>
      <c r="H348" s="1"/>
    </row>
    <row r="349" spans="5:8" ht="13.2" x14ac:dyDescent="0.25">
      <c r="E349" s="76"/>
      <c r="F349" s="16"/>
      <c r="G349" s="18"/>
      <c r="H349" s="1"/>
    </row>
    <row r="350" spans="5:8" ht="13.2" x14ac:dyDescent="0.25">
      <c r="E350" s="76"/>
      <c r="F350" s="16"/>
      <c r="G350" s="18"/>
      <c r="H350" s="1"/>
    </row>
    <row r="351" spans="5:8" ht="13.2" x14ac:dyDescent="0.25">
      <c r="E351" s="76"/>
      <c r="F351" s="16"/>
      <c r="G351" s="18"/>
      <c r="H351" s="1"/>
    </row>
    <row r="352" spans="5:8" ht="13.2" x14ac:dyDescent="0.25">
      <c r="E352" s="76"/>
      <c r="F352" s="16"/>
      <c r="G352" s="18"/>
      <c r="H352" s="1"/>
    </row>
    <row r="353" spans="5:8" ht="13.2" x14ac:dyDescent="0.25">
      <c r="E353" s="76"/>
      <c r="F353" s="16"/>
      <c r="G353" s="18"/>
      <c r="H353" s="1"/>
    </row>
    <row r="354" spans="5:8" ht="13.2" x14ac:dyDescent="0.25">
      <c r="E354" s="76"/>
      <c r="F354" s="16"/>
      <c r="G354" s="18"/>
      <c r="H354" s="1"/>
    </row>
    <row r="355" spans="5:8" ht="13.2" x14ac:dyDescent="0.25">
      <c r="E355" s="76"/>
      <c r="F355" s="16"/>
      <c r="G355" s="18"/>
      <c r="H355" s="1"/>
    </row>
    <row r="356" spans="5:8" ht="13.2" x14ac:dyDescent="0.25">
      <c r="E356" s="76"/>
      <c r="F356" s="16"/>
      <c r="G356" s="18"/>
      <c r="H356" s="1"/>
    </row>
    <row r="357" spans="5:8" ht="13.2" x14ac:dyDescent="0.25">
      <c r="E357" s="76"/>
      <c r="F357" s="16"/>
      <c r="G357" s="18"/>
      <c r="H357" s="1"/>
    </row>
    <row r="358" spans="5:8" ht="13.2" x14ac:dyDescent="0.25">
      <c r="E358" s="76"/>
      <c r="F358" s="16"/>
      <c r="G358" s="18"/>
      <c r="H358" s="1"/>
    </row>
    <row r="359" spans="5:8" ht="13.2" x14ac:dyDescent="0.25">
      <c r="E359" s="76"/>
      <c r="F359" s="16"/>
      <c r="G359" s="18"/>
      <c r="H359" s="1"/>
    </row>
    <row r="360" spans="5:8" ht="13.2" x14ac:dyDescent="0.25">
      <c r="E360" s="76"/>
      <c r="F360" s="16"/>
      <c r="G360" s="18"/>
      <c r="H360" s="1"/>
    </row>
    <row r="361" spans="5:8" ht="13.2" x14ac:dyDescent="0.25">
      <c r="E361" s="76"/>
      <c r="F361" s="16"/>
      <c r="G361" s="18"/>
      <c r="H361" s="1"/>
    </row>
    <row r="362" spans="5:8" ht="13.2" x14ac:dyDescent="0.25">
      <c r="E362" s="76"/>
      <c r="F362" s="16"/>
      <c r="G362" s="18"/>
      <c r="H362" s="1"/>
    </row>
    <row r="363" spans="5:8" ht="13.2" x14ac:dyDescent="0.25">
      <c r="E363" s="76"/>
      <c r="F363" s="16"/>
      <c r="G363" s="18"/>
      <c r="H363" s="1"/>
    </row>
    <row r="364" spans="5:8" ht="13.2" x14ac:dyDescent="0.25">
      <c r="E364" s="76"/>
      <c r="F364" s="16"/>
      <c r="G364" s="18"/>
      <c r="H364" s="1"/>
    </row>
    <row r="365" spans="5:8" ht="13.2" x14ac:dyDescent="0.25">
      <c r="E365" s="76"/>
      <c r="F365" s="16"/>
      <c r="G365" s="18"/>
      <c r="H365" s="1"/>
    </row>
    <row r="366" spans="5:8" ht="13.2" x14ac:dyDescent="0.25">
      <c r="E366" s="76"/>
      <c r="F366" s="16"/>
      <c r="G366" s="18"/>
      <c r="H366" s="1"/>
    </row>
    <row r="367" spans="5:8" ht="13.2" x14ac:dyDescent="0.25">
      <c r="E367" s="76"/>
      <c r="F367" s="16"/>
      <c r="G367" s="18"/>
      <c r="H367" s="1"/>
    </row>
    <row r="368" spans="5:8" ht="13.2" x14ac:dyDescent="0.25">
      <c r="E368" s="76"/>
      <c r="F368" s="16"/>
      <c r="G368" s="18"/>
      <c r="H368" s="1"/>
    </row>
    <row r="369" spans="5:8" ht="13.2" x14ac:dyDescent="0.25">
      <c r="E369" s="76"/>
      <c r="F369" s="16"/>
      <c r="G369" s="18"/>
      <c r="H369" s="1"/>
    </row>
    <row r="370" spans="5:8" ht="13.2" x14ac:dyDescent="0.25">
      <c r="E370" s="76"/>
      <c r="F370" s="16"/>
      <c r="G370" s="18"/>
      <c r="H370" s="1"/>
    </row>
    <row r="371" spans="5:8" ht="13.2" x14ac:dyDescent="0.25">
      <c r="E371" s="76"/>
      <c r="F371" s="16"/>
      <c r="G371" s="18"/>
      <c r="H371" s="1"/>
    </row>
    <row r="372" spans="5:8" ht="13.2" x14ac:dyDescent="0.25">
      <c r="E372" s="76"/>
      <c r="F372" s="16"/>
      <c r="G372" s="18"/>
      <c r="H372" s="1"/>
    </row>
    <row r="373" spans="5:8" ht="13.2" x14ac:dyDescent="0.25">
      <c r="E373" s="76"/>
      <c r="F373" s="16"/>
      <c r="G373" s="18"/>
      <c r="H373" s="1"/>
    </row>
    <row r="374" spans="5:8" ht="13.2" x14ac:dyDescent="0.25">
      <c r="E374" s="76"/>
      <c r="F374" s="16"/>
      <c r="G374" s="18"/>
      <c r="H374" s="1"/>
    </row>
    <row r="375" spans="5:8" ht="13.2" x14ac:dyDescent="0.25">
      <c r="E375" s="76"/>
      <c r="F375" s="16"/>
      <c r="G375" s="18"/>
      <c r="H375" s="1"/>
    </row>
    <row r="376" spans="5:8" ht="13.2" x14ac:dyDescent="0.25">
      <c r="E376" s="76"/>
      <c r="F376" s="16"/>
      <c r="G376" s="18"/>
      <c r="H376" s="1"/>
    </row>
    <row r="377" spans="5:8" ht="13.2" x14ac:dyDescent="0.25">
      <c r="E377" s="76"/>
      <c r="F377" s="16"/>
      <c r="G377" s="18"/>
      <c r="H377" s="1"/>
    </row>
    <row r="378" spans="5:8" ht="13.2" x14ac:dyDescent="0.25">
      <c r="E378" s="76"/>
      <c r="F378" s="16"/>
      <c r="G378" s="18"/>
      <c r="H378" s="1"/>
    </row>
    <row r="379" spans="5:8" ht="13.2" x14ac:dyDescent="0.25">
      <c r="E379" s="76"/>
      <c r="F379" s="16"/>
      <c r="G379" s="18"/>
      <c r="H379" s="1"/>
    </row>
    <row r="380" spans="5:8" ht="13.2" x14ac:dyDescent="0.25">
      <c r="E380" s="76"/>
      <c r="F380" s="16"/>
      <c r="G380" s="18"/>
      <c r="H380" s="1"/>
    </row>
    <row r="381" spans="5:8" ht="13.2" x14ac:dyDescent="0.25">
      <c r="E381" s="76"/>
      <c r="F381" s="16"/>
      <c r="G381" s="18"/>
      <c r="H381" s="1"/>
    </row>
    <row r="382" spans="5:8" ht="13.2" x14ac:dyDescent="0.25">
      <c r="E382" s="76"/>
      <c r="F382" s="16"/>
      <c r="G382" s="18"/>
      <c r="H382" s="1"/>
    </row>
    <row r="383" spans="5:8" ht="13.2" x14ac:dyDescent="0.25">
      <c r="E383" s="76"/>
      <c r="F383" s="16"/>
      <c r="G383" s="18"/>
      <c r="H383" s="1"/>
    </row>
    <row r="384" spans="5:8" ht="13.2" x14ac:dyDescent="0.25">
      <c r="E384" s="76"/>
      <c r="F384" s="16"/>
      <c r="G384" s="18"/>
      <c r="H384" s="1"/>
    </row>
    <row r="385" spans="5:8" ht="13.2" x14ac:dyDescent="0.25">
      <c r="E385" s="76"/>
      <c r="F385" s="16"/>
      <c r="G385" s="18"/>
      <c r="H385" s="1"/>
    </row>
    <row r="386" spans="5:8" ht="13.2" x14ac:dyDescent="0.25">
      <c r="E386" s="76"/>
      <c r="F386" s="16"/>
      <c r="G386" s="18"/>
      <c r="H386" s="1"/>
    </row>
    <row r="387" spans="5:8" ht="13.2" x14ac:dyDescent="0.25">
      <c r="E387" s="76"/>
      <c r="F387" s="16"/>
      <c r="G387" s="18"/>
      <c r="H387" s="1"/>
    </row>
    <row r="388" spans="5:8" ht="13.2" x14ac:dyDescent="0.25">
      <c r="E388" s="76"/>
      <c r="F388" s="16"/>
      <c r="G388" s="18"/>
      <c r="H388" s="1"/>
    </row>
    <row r="389" spans="5:8" ht="13.2" x14ac:dyDescent="0.25">
      <c r="E389" s="76"/>
      <c r="F389" s="16"/>
      <c r="G389" s="18"/>
      <c r="H389" s="1"/>
    </row>
    <row r="390" spans="5:8" ht="13.2" x14ac:dyDescent="0.25">
      <c r="E390" s="76"/>
      <c r="F390" s="16"/>
      <c r="G390" s="18"/>
      <c r="H390" s="1"/>
    </row>
    <row r="391" spans="5:8" ht="13.2" x14ac:dyDescent="0.25">
      <c r="E391" s="76"/>
      <c r="F391" s="16"/>
      <c r="G391" s="18"/>
      <c r="H391" s="1"/>
    </row>
    <row r="392" spans="5:8" ht="13.2" x14ac:dyDescent="0.25">
      <c r="E392" s="76"/>
      <c r="F392" s="16"/>
      <c r="G392" s="18"/>
      <c r="H392" s="1"/>
    </row>
    <row r="393" spans="5:8" ht="13.2" x14ac:dyDescent="0.25">
      <c r="E393" s="76"/>
      <c r="F393" s="16"/>
      <c r="G393" s="18"/>
      <c r="H393" s="1"/>
    </row>
    <row r="394" spans="5:8" ht="13.2" x14ac:dyDescent="0.25">
      <c r="E394" s="76"/>
      <c r="F394" s="16"/>
      <c r="G394" s="18"/>
      <c r="H394" s="1"/>
    </row>
    <row r="395" spans="5:8" ht="13.2" x14ac:dyDescent="0.25">
      <c r="E395" s="76"/>
      <c r="F395" s="16"/>
      <c r="G395" s="18"/>
      <c r="H395" s="1"/>
    </row>
    <row r="396" spans="5:8" ht="13.2" x14ac:dyDescent="0.25">
      <c r="E396" s="76"/>
      <c r="F396" s="16"/>
      <c r="G396" s="18"/>
      <c r="H396" s="1"/>
    </row>
    <row r="397" spans="5:8" ht="13.2" x14ac:dyDescent="0.25">
      <c r="E397" s="76"/>
      <c r="F397" s="16"/>
      <c r="G397" s="18"/>
      <c r="H397" s="1"/>
    </row>
    <row r="398" spans="5:8" ht="13.2" x14ac:dyDescent="0.25">
      <c r="E398" s="76"/>
      <c r="F398" s="16"/>
      <c r="G398" s="18"/>
      <c r="H398" s="1"/>
    </row>
    <row r="399" spans="5:8" ht="13.2" x14ac:dyDescent="0.25">
      <c r="E399" s="76"/>
      <c r="F399" s="16"/>
      <c r="G399" s="18"/>
      <c r="H399" s="1"/>
    </row>
    <row r="400" spans="5:8" ht="13.2" x14ac:dyDescent="0.25">
      <c r="E400" s="76"/>
      <c r="F400" s="16"/>
      <c r="G400" s="18"/>
      <c r="H400" s="1"/>
    </row>
    <row r="401" spans="5:8" ht="13.2" x14ac:dyDescent="0.25">
      <c r="E401" s="76"/>
      <c r="F401" s="16"/>
      <c r="G401" s="18"/>
      <c r="H401" s="1"/>
    </row>
    <row r="402" spans="5:8" ht="13.2" x14ac:dyDescent="0.25">
      <c r="E402" s="76"/>
      <c r="F402" s="16"/>
      <c r="G402" s="18"/>
      <c r="H402" s="1"/>
    </row>
    <row r="403" spans="5:8" ht="13.2" x14ac:dyDescent="0.25">
      <c r="E403" s="76"/>
      <c r="F403" s="16"/>
      <c r="G403" s="18"/>
      <c r="H403" s="1"/>
    </row>
    <row r="404" spans="5:8" ht="13.2" x14ac:dyDescent="0.25">
      <c r="E404" s="76"/>
      <c r="F404" s="16"/>
      <c r="G404" s="18"/>
      <c r="H404" s="1"/>
    </row>
    <row r="405" spans="5:8" ht="13.2" x14ac:dyDescent="0.25">
      <c r="E405" s="76"/>
      <c r="F405" s="16"/>
      <c r="G405" s="18"/>
      <c r="H405" s="1"/>
    </row>
    <row r="406" spans="5:8" ht="13.2" x14ac:dyDescent="0.25">
      <c r="E406" s="76"/>
      <c r="F406" s="16"/>
      <c r="G406" s="18"/>
      <c r="H406" s="1"/>
    </row>
    <row r="407" spans="5:8" ht="13.2" x14ac:dyDescent="0.25">
      <c r="E407" s="76"/>
      <c r="F407" s="16"/>
      <c r="G407" s="18"/>
      <c r="H407" s="1"/>
    </row>
    <row r="408" spans="5:8" ht="13.2" x14ac:dyDescent="0.25">
      <c r="E408" s="76"/>
      <c r="F408" s="16"/>
      <c r="G408" s="18"/>
      <c r="H408" s="1"/>
    </row>
    <row r="409" spans="5:8" ht="13.2" x14ac:dyDescent="0.25">
      <c r="E409" s="76"/>
      <c r="F409" s="16"/>
      <c r="G409" s="18"/>
      <c r="H409" s="1"/>
    </row>
    <row r="410" spans="5:8" ht="13.2" x14ac:dyDescent="0.25">
      <c r="E410" s="76"/>
      <c r="F410" s="16"/>
      <c r="G410" s="18"/>
      <c r="H410" s="1"/>
    </row>
    <row r="411" spans="5:8" ht="13.2" x14ac:dyDescent="0.25">
      <c r="E411" s="76"/>
      <c r="F411" s="16"/>
      <c r="G411" s="18"/>
      <c r="H411" s="1"/>
    </row>
    <row r="412" spans="5:8" ht="13.2" x14ac:dyDescent="0.25">
      <c r="E412" s="76"/>
      <c r="F412" s="16"/>
      <c r="G412" s="18"/>
      <c r="H412" s="1"/>
    </row>
    <row r="413" spans="5:8" ht="13.2" x14ac:dyDescent="0.25">
      <c r="E413" s="76"/>
      <c r="F413" s="16"/>
      <c r="G413" s="18"/>
      <c r="H413" s="1"/>
    </row>
    <row r="414" spans="5:8" ht="13.2" x14ac:dyDescent="0.25">
      <c r="E414" s="76"/>
      <c r="F414" s="16"/>
      <c r="G414" s="18"/>
      <c r="H414" s="1"/>
    </row>
    <row r="415" spans="5:8" ht="13.2" x14ac:dyDescent="0.25">
      <c r="E415" s="76"/>
      <c r="F415" s="16"/>
      <c r="G415" s="18"/>
      <c r="H415" s="1"/>
    </row>
    <row r="416" spans="5:8" ht="13.2" x14ac:dyDescent="0.25">
      <c r="E416" s="76"/>
      <c r="F416" s="16"/>
      <c r="G416" s="18"/>
      <c r="H416" s="1"/>
    </row>
    <row r="417" spans="5:8" ht="13.2" x14ac:dyDescent="0.25">
      <c r="E417" s="76"/>
      <c r="F417" s="16"/>
      <c r="G417" s="18"/>
      <c r="H417" s="1"/>
    </row>
    <row r="418" spans="5:8" ht="13.2" x14ac:dyDescent="0.25">
      <c r="E418" s="76"/>
      <c r="F418" s="16"/>
      <c r="G418" s="18"/>
      <c r="H418" s="1"/>
    </row>
    <row r="419" spans="5:8" ht="13.2" x14ac:dyDescent="0.25">
      <c r="E419" s="76"/>
      <c r="F419" s="16"/>
      <c r="G419" s="18"/>
      <c r="H419" s="1"/>
    </row>
    <row r="420" spans="5:8" ht="13.2" x14ac:dyDescent="0.25">
      <c r="E420" s="76"/>
      <c r="F420" s="16"/>
      <c r="G420" s="18"/>
      <c r="H420" s="1"/>
    </row>
    <row r="421" spans="5:8" ht="13.2" x14ac:dyDescent="0.25">
      <c r="E421" s="76"/>
      <c r="F421" s="16"/>
      <c r="G421" s="18"/>
      <c r="H421" s="1"/>
    </row>
    <row r="422" spans="5:8" ht="13.2" x14ac:dyDescent="0.25">
      <c r="E422" s="76"/>
      <c r="F422" s="16"/>
      <c r="G422" s="18"/>
      <c r="H422" s="1"/>
    </row>
    <row r="423" spans="5:8" ht="13.2" x14ac:dyDescent="0.25">
      <c r="E423" s="76"/>
      <c r="F423" s="16"/>
      <c r="G423" s="18"/>
      <c r="H423" s="1"/>
    </row>
    <row r="424" spans="5:8" ht="13.2" x14ac:dyDescent="0.25">
      <c r="E424" s="76"/>
      <c r="F424" s="16"/>
      <c r="G424" s="18"/>
      <c r="H424" s="1"/>
    </row>
    <row r="425" spans="5:8" ht="13.2" x14ac:dyDescent="0.25">
      <c r="E425" s="76"/>
      <c r="F425" s="16"/>
      <c r="G425" s="18"/>
      <c r="H425" s="1"/>
    </row>
    <row r="426" spans="5:8" ht="13.2" x14ac:dyDescent="0.25">
      <c r="E426" s="76"/>
      <c r="F426" s="16"/>
      <c r="G426" s="18"/>
      <c r="H426" s="1"/>
    </row>
    <row r="427" spans="5:8" ht="13.2" x14ac:dyDescent="0.25">
      <c r="E427" s="76"/>
      <c r="F427" s="16"/>
      <c r="G427" s="18"/>
      <c r="H427" s="1"/>
    </row>
    <row r="428" spans="5:8" ht="13.2" x14ac:dyDescent="0.25">
      <c r="E428" s="76"/>
      <c r="F428" s="16"/>
      <c r="G428" s="18"/>
      <c r="H428" s="1"/>
    </row>
    <row r="429" spans="5:8" ht="13.2" x14ac:dyDescent="0.25">
      <c r="E429" s="76"/>
      <c r="F429" s="16"/>
      <c r="G429" s="18"/>
      <c r="H429" s="1"/>
    </row>
    <row r="430" spans="5:8" ht="13.2" x14ac:dyDescent="0.25">
      <c r="E430" s="76"/>
      <c r="F430" s="16"/>
      <c r="G430" s="18"/>
      <c r="H430" s="1"/>
    </row>
    <row r="431" spans="5:8" ht="13.2" x14ac:dyDescent="0.25">
      <c r="E431" s="76"/>
      <c r="F431" s="16"/>
      <c r="G431" s="18"/>
      <c r="H431" s="1"/>
    </row>
    <row r="432" spans="5:8" ht="13.2" x14ac:dyDescent="0.25">
      <c r="E432" s="76"/>
      <c r="F432" s="16"/>
      <c r="G432" s="18"/>
      <c r="H432" s="1"/>
    </row>
    <row r="433" spans="5:8" ht="13.2" x14ac:dyDescent="0.25">
      <c r="E433" s="76"/>
      <c r="F433" s="16"/>
      <c r="G433" s="18"/>
      <c r="H433" s="1"/>
    </row>
    <row r="434" spans="5:8" ht="13.2" x14ac:dyDescent="0.25">
      <c r="E434" s="76"/>
      <c r="F434" s="16"/>
      <c r="G434" s="18"/>
      <c r="H434" s="1"/>
    </row>
    <row r="435" spans="5:8" ht="13.2" x14ac:dyDescent="0.25">
      <c r="E435" s="76"/>
      <c r="F435" s="16"/>
      <c r="G435" s="18"/>
      <c r="H435" s="1"/>
    </row>
    <row r="436" spans="5:8" ht="13.2" x14ac:dyDescent="0.25">
      <c r="E436" s="76"/>
      <c r="F436" s="16"/>
      <c r="G436" s="18"/>
      <c r="H436" s="1"/>
    </row>
    <row r="437" spans="5:8" ht="13.2" x14ac:dyDescent="0.25">
      <c r="E437" s="76"/>
      <c r="F437" s="16"/>
      <c r="G437" s="18"/>
      <c r="H437" s="1"/>
    </row>
    <row r="438" spans="5:8" ht="13.2" x14ac:dyDescent="0.25">
      <c r="E438" s="76"/>
      <c r="F438" s="16"/>
      <c r="G438" s="18"/>
      <c r="H438" s="1"/>
    </row>
    <row r="439" spans="5:8" ht="13.2" x14ac:dyDescent="0.25">
      <c r="E439" s="76"/>
      <c r="F439" s="16"/>
      <c r="G439" s="18"/>
      <c r="H439" s="1"/>
    </row>
    <row r="440" spans="5:8" ht="13.2" x14ac:dyDescent="0.25">
      <c r="E440" s="76"/>
      <c r="F440" s="16"/>
      <c r="G440" s="18"/>
      <c r="H440" s="1"/>
    </row>
    <row r="441" spans="5:8" ht="13.2" x14ac:dyDescent="0.25">
      <c r="E441" s="76"/>
      <c r="F441" s="16"/>
      <c r="G441" s="18"/>
      <c r="H441" s="1"/>
    </row>
    <row r="442" spans="5:8" ht="13.2" x14ac:dyDescent="0.25">
      <c r="E442" s="76"/>
      <c r="F442" s="16"/>
      <c r="G442" s="18"/>
      <c r="H442" s="1"/>
    </row>
    <row r="443" spans="5:8" ht="13.2" x14ac:dyDescent="0.25">
      <c r="E443" s="76"/>
      <c r="F443" s="16"/>
      <c r="G443" s="18"/>
      <c r="H443" s="1"/>
    </row>
    <row r="444" spans="5:8" ht="13.2" x14ac:dyDescent="0.25">
      <c r="E444" s="76"/>
      <c r="F444" s="16"/>
      <c r="G444" s="18"/>
      <c r="H444" s="1"/>
    </row>
    <row r="445" spans="5:8" ht="13.2" x14ac:dyDescent="0.25">
      <c r="E445" s="76"/>
      <c r="F445" s="16"/>
      <c r="G445" s="18"/>
      <c r="H445" s="1"/>
    </row>
    <row r="446" spans="5:8" ht="13.2" x14ac:dyDescent="0.25">
      <c r="E446" s="76"/>
      <c r="F446" s="16"/>
      <c r="G446" s="18"/>
      <c r="H446" s="1"/>
    </row>
    <row r="447" spans="5:8" ht="13.2" x14ac:dyDescent="0.25">
      <c r="E447" s="76"/>
      <c r="F447" s="16"/>
      <c r="G447" s="18"/>
      <c r="H447" s="1"/>
    </row>
    <row r="448" spans="5:8" ht="13.2" x14ac:dyDescent="0.25">
      <c r="E448" s="76"/>
      <c r="F448" s="16"/>
      <c r="G448" s="18"/>
      <c r="H448" s="1"/>
    </row>
    <row r="449" spans="5:8" ht="13.2" x14ac:dyDescent="0.25">
      <c r="E449" s="76"/>
      <c r="F449" s="16"/>
      <c r="G449" s="18"/>
      <c r="H449" s="1"/>
    </row>
    <row r="450" spans="5:8" ht="13.2" x14ac:dyDescent="0.25">
      <c r="E450" s="76"/>
      <c r="F450" s="16"/>
      <c r="G450" s="18"/>
      <c r="H450" s="1"/>
    </row>
    <row r="451" spans="5:8" ht="13.2" x14ac:dyDescent="0.25">
      <c r="E451" s="76"/>
      <c r="F451" s="16"/>
      <c r="G451" s="18"/>
      <c r="H451" s="1"/>
    </row>
    <row r="452" spans="5:8" ht="13.2" x14ac:dyDescent="0.25">
      <c r="E452" s="76"/>
      <c r="F452" s="16"/>
      <c r="G452" s="18"/>
      <c r="H452" s="1"/>
    </row>
    <row r="453" spans="5:8" ht="13.2" x14ac:dyDescent="0.25">
      <c r="E453" s="76"/>
      <c r="F453" s="16"/>
      <c r="G453" s="18"/>
      <c r="H453" s="1"/>
    </row>
    <row r="454" spans="5:8" ht="13.2" x14ac:dyDescent="0.25">
      <c r="E454" s="76"/>
      <c r="F454" s="16"/>
      <c r="G454" s="18"/>
      <c r="H454" s="1"/>
    </row>
    <row r="455" spans="5:8" ht="13.2" x14ac:dyDescent="0.25">
      <c r="E455" s="76"/>
      <c r="F455" s="16"/>
      <c r="G455" s="18"/>
      <c r="H455" s="1"/>
    </row>
    <row r="456" spans="5:8" ht="13.2" x14ac:dyDescent="0.25">
      <c r="E456" s="76"/>
      <c r="F456" s="16"/>
      <c r="G456" s="18"/>
      <c r="H456" s="1"/>
    </row>
    <row r="457" spans="5:8" ht="13.2" x14ac:dyDescent="0.25">
      <c r="E457" s="76"/>
      <c r="F457" s="16"/>
      <c r="G457" s="18"/>
      <c r="H457" s="1"/>
    </row>
    <row r="458" spans="5:8" ht="13.2" x14ac:dyDescent="0.25">
      <c r="E458" s="76"/>
      <c r="F458" s="16"/>
      <c r="G458" s="18"/>
      <c r="H458" s="1"/>
    </row>
    <row r="459" spans="5:8" ht="13.2" x14ac:dyDescent="0.25">
      <c r="E459" s="76"/>
      <c r="F459" s="16"/>
      <c r="G459" s="18"/>
      <c r="H459" s="1"/>
    </row>
    <row r="460" spans="5:8" ht="13.2" x14ac:dyDescent="0.25">
      <c r="E460" s="76"/>
      <c r="F460" s="16"/>
      <c r="G460" s="18"/>
      <c r="H460" s="1"/>
    </row>
    <row r="461" spans="5:8" ht="13.2" x14ac:dyDescent="0.25">
      <c r="E461" s="76"/>
      <c r="F461" s="16"/>
      <c r="G461" s="18"/>
      <c r="H461" s="1"/>
    </row>
    <row r="462" spans="5:8" ht="13.2" x14ac:dyDescent="0.25">
      <c r="E462" s="76"/>
      <c r="F462" s="16"/>
      <c r="G462" s="18"/>
      <c r="H462" s="1"/>
    </row>
    <row r="463" spans="5:8" ht="13.2" x14ac:dyDescent="0.25">
      <c r="E463" s="76"/>
      <c r="F463" s="16"/>
      <c r="G463" s="18"/>
      <c r="H463" s="1"/>
    </row>
    <row r="464" spans="5:8" ht="13.2" x14ac:dyDescent="0.25">
      <c r="E464" s="76"/>
      <c r="F464" s="16"/>
      <c r="G464" s="18"/>
      <c r="H464" s="1"/>
    </row>
    <row r="465" spans="5:8" ht="13.2" x14ac:dyDescent="0.25">
      <c r="E465" s="76"/>
      <c r="F465" s="16"/>
      <c r="G465" s="18"/>
      <c r="H465" s="1"/>
    </row>
    <row r="466" spans="5:8" ht="13.2" x14ac:dyDescent="0.25">
      <c r="E466" s="76"/>
      <c r="F466" s="16"/>
      <c r="G466" s="18"/>
      <c r="H466" s="1"/>
    </row>
    <row r="467" spans="5:8" ht="13.2" x14ac:dyDescent="0.25">
      <c r="E467" s="76"/>
      <c r="F467" s="16"/>
      <c r="G467" s="18"/>
      <c r="H467" s="1"/>
    </row>
    <row r="468" spans="5:8" ht="13.2" x14ac:dyDescent="0.25">
      <c r="E468" s="76"/>
      <c r="F468" s="16"/>
      <c r="G468" s="18"/>
      <c r="H468" s="1"/>
    </row>
    <row r="469" spans="5:8" ht="13.2" x14ac:dyDescent="0.25">
      <c r="E469" s="76"/>
      <c r="F469" s="16"/>
      <c r="G469" s="18"/>
      <c r="H469" s="1"/>
    </row>
    <row r="470" spans="5:8" ht="13.2" x14ac:dyDescent="0.25">
      <c r="E470" s="76"/>
      <c r="F470" s="16"/>
      <c r="G470" s="18"/>
      <c r="H470" s="1"/>
    </row>
    <row r="471" spans="5:8" ht="13.2" x14ac:dyDescent="0.25">
      <c r="E471" s="76"/>
      <c r="F471" s="16"/>
      <c r="G471" s="18"/>
      <c r="H471" s="1"/>
    </row>
    <row r="472" spans="5:8" ht="13.2" x14ac:dyDescent="0.25">
      <c r="E472" s="76"/>
      <c r="F472" s="16"/>
      <c r="G472" s="18"/>
      <c r="H472" s="1"/>
    </row>
    <row r="473" spans="5:8" ht="13.2" x14ac:dyDescent="0.25">
      <c r="E473" s="76"/>
      <c r="F473" s="16"/>
      <c r="G473" s="18"/>
      <c r="H473" s="1"/>
    </row>
    <row r="474" spans="5:8" ht="13.2" x14ac:dyDescent="0.25">
      <c r="E474" s="76"/>
      <c r="F474" s="16"/>
      <c r="G474" s="18"/>
      <c r="H474" s="1"/>
    </row>
    <row r="475" spans="5:8" ht="13.2" x14ac:dyDescent="0.25">
      <c r="E475" s="76"/>
      <c r="F475" s="16"/>
      <c r="G475" s="18"/>
      <c r="H475" s="1"/>
    </row>
    <row r="476" spans="5:8" ht="13.2" x14ac:dyDescent="0.25">
      <c r="E476" s="76"/>
      <c r="F476" s="16"/>
      <c r="G476" s="18"/>
      <c r="H476" s="1"/>
    </row>
    <row r="477" spans="5:8" ht="13.2" x14ac:dyDescent="0.25">
      <c r="E477" s="76"/>
      <c r="F477" s="16"/>
      <c r="G477" s="18"/>
      <c r="H477" s="1"/>
    </row>
    <row r="478" spans="5:8" ht="13.2" x14ac:dyDescent="0.25">
      <c r="E478" s="76"/>
      <c r="F478" s="16"/>
      <c r="G478" s="18"/>
      <c r="H478" s="1"/>
    </row>
    <row r="479" spans="5:8" ht="13.2" x14ac:dyDescent="0.25">
      <c r="E479" s="76"/>
      <c r="F479" s="16"/>
      <c r="G479" s="18"/>
      <c r="H479" s="1"/>
    </row>
    <row r="480" spans="5:8" ht="13.2" x14ac:dyDescent="0.25">
      <c r="E480" s="76"/>
      <c r="F480" s="16"/>
      <c r="G480" s="18"/>
      <c r="H480" s="1"/>
    </row>
    <row r="481" spans="5:8" ht="13.2" x14ac:dyDescent="0.25">
      <c r="E481" s="76"/>
      <c r="F481" s="16"/>
      <c r="G481" s="18"/>
      <c r="H481" s="1"/>
    </row>
    <row r="482" spans="5:8" ht="13.2" x14ac:dyDescent="0.25">
      <c r="E482" s="76"/>
      <c r="F482" s="16"/>
      <c r="G482" s="18"/>
      <c r="H482" s="1"/>
    </row>
    <row r="483" spans="5:8" ht="13.2" x14ac:dyDescent="0.25">
      <c r="E483" s="76"/>
      <c r="F483" s="16"/>
      <c r="G483" s="18"/>
      <c r="H483" s="1"/>
    </row>
    <row r="484" spans="5:8" ht="13.2" x14ac:dyDescent="0.25">
      <c r="E484" s="76"/>
      <c r="F484" s="16"/>
      <c r="G484" s="18"/>
      <c r="H484" s="1"/>
    </row>
    <row r="485" spans="5:8" ht="13.2" x14ac:dyDescent="0.25">
      <c r="E485" s="76"/>
      <c r="F485" s="16"/>
      <c r="G485" s="18"/>
      <c r="H485" s="1"/>
    </row>
    <row r="486" spans="5:8" ht="13.2" x14ac:dyDescent="0.25">
      <c r="E486" s="76"/>
      <c r="F486" s="16"/>
      <c r="G486" s="18"/>
      <c r="H486" s="1"/>
    </row>
    <row r="487" spans="5:8" ht="13.2" x14ac:dyDescent="0.25">
      <c r="E487" s="76"/>
      <c r="F487" s="16"/>
      <c r="G487" s="18"/>
      <c r="H487" s="1"/>
    </row>
    <row r="488" spans="5:8" ht="13.2" x14ac:dyDescent="0.25">
      <c r="E488" s="76"/>
      <c r="F488" s="16"/>
      <c r="G488" s="18"/>
      <c r="H488" s="1"/>
    </row>
    <row r="489" spans="5:8" ht="13.2" x14ac:dyDescent="0.25">
      <c r="E489" s="76"/>
      <c r="F489" s="16"/>
      <c r="G489" s="18"/>
      <c r="H489" s="1"/>
    </row>
    <row r="490" spans="5:8" ht="13.2" x14ac:dyDescent="0.25">
      <c r="E490" s="76"/>
      <c r="F490" s="16"/>
      <c r="G490" s="18"/>
      <c r="H490" s="1"/>
    </row>
    <row r="491" spans="5:8" ht="13.2" x14ac:dyDescent="0.25">
      <c r="E491" s="76"/>
      <c r="F491" s="16"/>
      <c r="G491" s="18"/>
      <c r="H491" s="1"/>
    </row>
    <row r="492" spans="5:8" ht="13.2" x14ac:dyDescent="0.25">
      <c r="E492" s="76"/>
      <c r="F492" s="16"/>
      <c r="G492" s="18"/>
      <c r="H492" s="1"/>
    </row>
    <row r="493" spans="5:8" ht="13.2" x14ac:dyDescent="0.25">
      <c r="E493" s="76"/>
      <c r="F493" s="16"/>
      <c r="G493" s="18"/>
      <c r="H493" s="1"/>
    </row>
    <row r="494" spans="5:8" ht="13.2" x14ac:dyDescent="0.25">
      <c r="E494" s="76"/>
      <c r="F494" s="16"/>
      <c r="G494" s="18"/>
      <c r="H494" s="1"/>
    </row>
    <row r="495" spans="5:8" ht="13.2" x14ac:dyDescent="0.25">
      <c r="E495" s="76"/>
      <c r="F495" s="16"/>
      <c r="G495" s="18"/>
      <c r="H495" s="1"/>
    </row>
    <row r="496" spans="5:8" ht="13.2" x14ac:dyDescent="0.25">
      <c r="E496" s="76"/>
      <c r="F496" s="16"/>
      <c r="G496" s="18"/>
      <c r="H496" s="1"/>
    </row>
    <row r="497" spans="5:8" ht="13.2" x14ac:dyDescent="0.25">
      <c r="E497" s="76"/>
      <c r="F497" s="16"/>
      <c r="G497" s="18"/>
      <c r="H497" s="1"/>
    </row>
    <row r="498" spans="5:8" ht="13.2" x14ac:dyDescent="0.25">
      <c r="E498" s="76"/>
      <c r="F498" s="16"/>
      <c r="G498" s="18"/>
      <c r="H498" s="1"/>
    </row>
    <row r="499" spans="5:8" ht="13.2" x14ac:dyDescent="0.25">
      <c r="E499" s="76"/>
      <c r="F499" s="16"/>
      <c r="G499" s="18"/>
      <c r="H499" s="1"/>
    </row>
    <row r="500" spans="5:8" ht="13.2" x14ac:dyDescent="0.25">
      <c r="E500" s="76"/>
      <c r="F500" s="16"/>
      <c r="G500" s="18"/>
      <c r="H500" s="1"/>
    </row>
    <row r="501" spans="5:8" ht="13.2" x14ac:dyDescent="0.25">
      <c r="E501" s="76"/>
      <c r="F501" s="16"/>
      <c r="G501" s="18"/>
      <c r="H501" s="1"/>
    </row>
    <row r="502" spans="5:8" ht="13.2" x14ac:dyDescent="0.25">
      <c r="E502" s="76"/>
      <c r="F502" s="16"/>
      <c r="G502" s="18"/>
      <c r="H502" s="1"/>
    </row>
    <row r="503" spans="5:8" ht="13.2" x14ac:dyDescent="0.25">
      <c r="E503" s="76"/>
      <c r="F503" s="16"/>
      <c r="G503" s="18"/>
      <c r="H503" s="1"/>
    </row>
    <row r="504" spans="5:8" ht="13.2" x14ac:dyDescent="0.25">
      <c r="E504" s="76"/>
      <c r="F504" s="16"/>
      <c r="G504" s="18"/>
      <c r="H504" s="1"/>
    </row>
    <row r="505" spans="5:8" ht="13.2" x14ac:dyDescent="0.25">
      <c r="E505" s="76"/>
      <c r="F505" s="16"/>
      <c r="G505" s="18"/>
      <c r="H505" s="1"/>
    </row>
    <row r="506" spans="5:8" ht="13.2" x14ac:dyDescent="0.25">
      <c r="E506" s="76"/>
      <c r="F506" s="16"/>
      <c r="G506" s="18"/>
      <c r="H506" s="1"/>
    </row>
    <row r="507" spans="5:8" ht="13.2" x14ac:dyDescent="0.25">
      <c r="E507" s="76"/>
      <c r="F507" s="16"/>
      <c r="G507" s="18"/>
      <c r="H507" s="1"/>
    </row>
    <row r="508" spans="5:8" ht="13.2" x14ac:dyDescent="0.25">
      <c r="E508" s="76"/>
      <c r="F508" s="16"/>
      <c r="G508" s="18"/>
      <c r="H508" s="1"/>
    </row>
    <row r="509" spans="5:8" ht="13.2" x14ac:dyDescent="0.25">
      <c r="E509" s="76"/>
      <c r="F509" s="16"/>
      <c r="G509" s="18"/>
      <c r="H509" s="1"/>
    </row>
    <row r="510" spans="5:8" ht="13.2" x14ac:dyDescent="0.25">
      <c r="E510" s="76"/>
      <c r="F510" s="16"/>
      <c r="G510" s="18"/>
      <c r="H510" s="1"/>
    </row>
    <row r="511" spans="5:8" ht="13.2" x14ac:dyDescent="0.25">
      <c r="E511" s="76"/>
      <c r="F511" s="16"/>
      <c r="G511" s="18"/>
      <c r="H511" s="1"/>
    </row>
    <row r="512" spans="5:8" ht="13.2" x14ac:dyDescent="0.25">
      <c r="E512" s="76"/>
      <c r="F512" s="16"/>
      <c r="G512" s="18"/>
      <c r="H512" s="1"/>
    </row>
    <row r="513" spans="5:8" ht="13.2" x14ac:dyDescent="0.25">
      <c r="E513" s="76"/>
      <c r="F513" s="16"/>
      <c r="G513" s="18"/>
      <c r="H513" s="1"/>
    </row>
    <row r="514" spans="5:8" ht="13.2" x14ac:dyDescent="0.25">
      <c r="E514" s="76"/>
      <c r="F514" s="16"/>
      <c r="G514" s="18"/>
      <c r="H514" s="1"/>
    </row>
    <row r="515" spans="5:8" ht="13.2" x14ac:dyDescent="0.25">
      <c r="E515" s="76"/>
      <c r="F515" s="16"/>
      <c r="G515" s="18"/>
      <c r="H515" s="1"/>
    </row>
    <row r="516" spans="5:8" ht="13.2" x14ac:dyDescent="0.25">
      <c r="E516" s="76"/>
      <c r="F516" s="16"/>
      <c r="G516" s="18"/>
      <c r="H516" s="1"/>
    </row>
    <row r="517" spans="5:8" ht="13.2" x14ac:dyDescent="0.25">
      <c r="E517" s="76"/>
      <c r="F517" s="16"/>
      <c r="G517" s="18"/>
      <c r="H517" s="1"/>
    </row>
    <row r="518" spans="5:8" ht="13.2" x14ac:dyDescent="0.25">
      <c r="E518" s="76"/>
      <c r="F518" s="16"/>
      <c r="G518" s="18"/>
      <c r="H518" s="1"/>
    </row>
    <row r="519" spans="5:8" ht="13.2" x14ac:dyDescent="0.25">
      <c r="E519" s="76"/>
      <c r="F519" s="16"/>
      <c r="G519" s="18"/>
      <c r="H519" s="1"/>
    </row>
    <row r="520" spans="5:8" ht="13.2" x14ac:dyDescent="0.25">
      <c r="E520" s="76"/>
      <c r="F520" s="16"/>
      <c r="G520" s="18"/>
      <c r="H520" s="1"/>
    </row>
    <row r="521" spans="5:8" ht="13.2" x14ac:dyDescent="0.25">
      <c r="E521" s="76"/>
      <c r="F521" s="16"/>
      <c r="G521" s="18"/>
      <c r="H521" s="1"/>
    </row>
    <row r="522" spans="5:8" ht="13.2" x14ac:dyDescent="0.25">
      <c r="E522" s="76"/>
      <c r="F522" s="16"/>
      <c r="G522" s="18"/>
      <c r="H522" s="1"/>
    </row>
    <row r="523" spans="5:8" ht="13.2" x14ac:dyDescent="0.25">
      <c r="E523" s="76"/>
      <c r="F523" s="16"/>
      <c r="G523" s="18"/>
      <c r="H523" s="1"/>
    </row>
    <row r="524" spans="5:8" ht="13.2" x14ac:dyDescent="0.25">
      <c r="E524" s="76"/>
      <c r="F524" s="16"/>
      <c r="G524" s="18"/>
      <c r="H524" s="1"/>
    </row>
    <row r="525" spans="5:8" ht="13.2" x14ac:dyDescent="0.25">
      <c r="E525" s="76"/>
      <c r="F525" s="16"/>
      <c r="G525" s="18"/>
      <c r="H525" s="1"/>
    </row>
    <row r="526" spans="5:8" ht="13.2" x14ac:dyDescent="0.25">
      <c r="E526" s="76"/>
      <c r="F526" s="16"/>
      <c r="G526" s="18"/>
      <c r="H526" s="1"/>
    </row>
    <row r="527" spans="5:8" ht="13.2" x14ac:dyDescent="0.25">
      <c r="E527" s="76"/>
      <c r="F527" s="16"/>
      <c r="G527" s="18"/>
      <c r="H527" s="1"/>
    </row>
    <row r="528" spans="5:8" ht="13.2" x14ac:dyDescent="0.25">
      <c r="E528" s="76"/>
      <c r="F528" s="16"/>
      <c r="G528" s="18"/>
      <c r="H528" s="1"/>
    </row>
    <row r="529" spans="5:8" ht="13.2" x14ac:dyDescent="0.25">
      <c r="E529" s="76"/>
      <c r="F529" s="16"/>
      <c r="G529" s="18"/>
      <c r="H529" s="1"/>
    </row>
    <row r="530" spans="5:8" ht="13.2" x14ac:dyDescent="0.25">
      <c r="E530" s="76"/>
      <c r="F530" s="16"/>
      <c r="G530" s="18"/>
      <c r="H530" s="1"/>
    </row>
    <row r="531" spans="5:8" ht="13.2" x14ac:dyDescent="0.25">
      <c r="E531" s="76"/>
      <c r="F531" s="16"/>
      <c r="G531" s="18"/>
      <c r="H531" s="1"/>
    </row>
    <row r="532" spans="5:8" ht="13.2" x14ac:dyDescent="0.25">
      <c r="E532" s="76"/>
      <c r="F532" s="16"/>
      <c r="G532" s="18"/>
      <c r="H532" s="1"/>
    </row>
    <row r="533" spans="5:8" ht="13.2" x14ac:dyDescent="0.25">
      <c r="E533" s="76"/>
      <c r="F533" s="16"/>
      <c r="G533" s="18"/>
      <c r="H533" s="1"/>
    </row>
    <row r="534" spans="5:8" ht="13.2" x14ac:dyDescent="0.25">
      <c r="E534" s="76"/>
      <c r="F534" s="16"/>
      <c r="G534" s="18"/>
      <c r="H534" s="1"/>
    </row>
    <row r="535" spans="5:8" ht="13.2" x14ac:dyDescent="0.25">
      <c r="E535" s="76"/>
      <c r="F535" s="16"/>
      <c r="G535" s="18"/>
      <c r="H535" s="1"/>
    </row>
    <row r="536" spans="5:8" ht="13.2" x14ac:dyDescent="0.25">
      <c r="E536" s="76"/>
      <c r="F536" s="16"/>
      <c r="G536" s="18"/>
      <c r="H536" s="1"/>
    </row>
    <row r="537" spans="5:8" ht="13.2" x14ac:dyDescent="0.25">
      <c r="E537" s="76"/>
      <c r="F537" s="16"/>
      <c r="G537" s="18"/>
      <c r="H537" s="1"/>
    </row>
    <row r="538" spans="5:8" ht="13.2" x14ac:dyDescent="0.25">
      <c r="E538" s="76"/>
      <c r="F538" s="16"/>
      <c r="G538" s="18"/>
      <c r="H538" s="1"/>
    </row>
    <row r="539" spans="5:8" ht="13.2" x14ac:dyDescent="0.25">
      <c r="E539" s="76"/>
      <c r="F539" s="16"/>
      <c r="G539" s="18"/>
      <c r="H539" s="1"/>
    </row>
    <row r="540" spans="5:8" ht="13.2" x14ac:dyDescent="0.25">
      <c r="E540" s="76"/>
      <c r="F540" s="16"/>
      <c r="G540" s="18"/>
      <c r="H540" s="1"/>
    </row>
    <row r="541" spans="5:8" ht="13.2" x14ac:dyDescent="0.25">
      <c r="E541" s="76"/>
      <c r="F541" s="16"/>
      <c r="G541" s="18"/>
      <c r="H541" s="1"/>
    </row>
    <row r="542" spans="5:8" ht="13.2" x14ac:dyDescent="0.25">
      <c r="E542" s="76"/>
      <c r="F542" s="16"/>
      <c r="G542" s="18"/>
      <c r="H542" s="1"/>
    </row>
    <row r="543" spans="5:8" ht="13.2" x14ac:dyDescent="0.25">
      <c r="E543" s="76"/>
      <c r="F543" s="16"/>
      <c r="G543" s="18"/>
      <c r="H543" s="1"/>
    </row>
    <row r="544" spans="5:8" ht="13.2" x14ac:dyDescent="0.25">
      <c r="E544" s="76"/>
      <c r="F544" s="16"/>
      <c r="G544" s="18"/>
      <c r="H544" s="1"/>
    </row>
    <row r="545" spans="5:8" ht="13.2" x14ac:dyDescent="0.25">
      <c r="E545" s="76"/>
      <c r="F545" s="16"/>
      <c r="G545" s="18"/>
      <c r="H545" s="1"/>
    </row>
    <row r="546" spans="5:8" ht="13.2" x14ac:dyDescent="0.25">
      <c r="E546" s="76"/>
      <c r="F546" s="16"/>
      <c r="G546" s="18"/>
      <c r="H546" s="1"/>
    </row>
    <row r="547" spans="5:8" ht="13.2" x14ac:dyDescent="0.25">
      <c r="E547" s="76"/>
      <c r="F547" s="16"/>
      <c r="G547" s="18"/>
      <c r="H547" s="1"/>
    </row>
    <row r="548" spans="5:8" ht="13.2" x14ac:dyDescent="0.25">
      <c r="E548" s="76"/>
      <c r="F548" s="16"/>
      <c r="G548" s="18"/>
      <c r="H548" s="1"/>
    </row>
    <row r="549" spans="5:8" ht="13.2" x14ac:dyDescent="0.25">
      <c r="E549" s="76"/>
      <c r="F549" s="16"/>
      <c r="G549" s="18"/>
      <c r="H549" s="1"/>
    </row>
    <row r="550" spans="5:8" ht="13.2" x14ac:dyDescent="0.25">
      <c r="E550" s="76"/>
      <c r="F550" s="16"/>
      <c r="G550" s="18"/>
      <c r="H550" s="1"/>
    </row>
    <row r="551" spans="5:8" ht="13.2" x14ac:dyDescent="0.25">
      <c r="E551" s="76"/>
      <c r="F551" s="16"/>
      <c r="G551" s="18"/>
      <c r="H551" s="1"/>
    </row>
    <row r="552" spans="5:8" ht="13.2" x14ac:dyDescent="0.25">
      <c r="E552" s="76"/>
      <c r="F552" s="16"/>
      <c r="G552" s="18"/>
      <c r="H552" s="1"/>
    </row>
    <row r="553" spans="5:8" ht="13.2" x14ac:dyDescent="0.25">
      <c r="E553" s="76"/>
      <c r="F553" s="16"/>
      <c r="G553" s="18"/>
      <c r="H553" s="1"/>
    </row>
    <row r="554" spans="5:8" ht="13.2" x14ac:dyDescent="0.25">
      <c r="E554" s="76"/>
      <c r="F554" s="16"/>
      <c r="G554" s="18"/>
      <c r="H554" s="1"/>
    </row>
    <row r="555" spans="5:8" ht="13.2" x14ac:dyDescent="0.25">
      <c r="E555" s="76"/>
      <c r="F555" s="16"/>
      <c r="G555" s="18"/>
      <c r="H555" s="1"/>
    </row>
    <row r="556" spans="5:8" ht="13.2" x14ac:dyDescent="0.25">
      <c r="E556" s="76"/>
      <c r="F556" s="16"/>
      <c r="G556" s="18"/>
      <c r="H556" s="1"/>
    </row>
    <row r="557" spans="5:8" ht="13.2" x14ac:dyDescent="0.25">
      <c r="E557" s="76"/>
      <c r="F557" s="16"/>
      <c r="G557" s="18"/>
      <c r="H557" s="1"/>
    </row>
    <row r="558" spans="5:8" ht="13.2" x14ac:dyDescent="0.25">
      <c r="E558" s="76"/>
      <c r="F558" s="16"/>
      <c r="G558" s="18"/>
      <c r="H558" s="1"/>
    </row>
    <row r="559" spans="5:8" ht="13.2" x14ac:dyDescent="0.25">
      <c r="E559" s="76"/>
      <c r="F559" s="16"/>
      <c r="G559" s="18"/>
      <c r="H559" s="1"/>
    </row>
    <row r="560" spans="5:8" ht="13.2" x14ac:dyDescent="0.25">
      <c r="E560" s="76"/>
      <c r="F560" s="16"/>
      <c r="G560" s="18"/>
      <c r="H560" s="1"/>
    </row>
    <row r="561" spans="5:8" ht="13.2" x14ac:dyDescent="0.25">
      <c r="E561" s="76"/>
      <c r="F561" s="16"/>
      <c r="G561" s="18"/>
      <c r="H561" s="1"/>
    </row>
    <row r="562" spans="5:8" ht="13.2" x14ac:dyDescent="0.25">
      <c r="E562" s="76"/>
      <c r="F562" s="16"/>
      <c r="G562" s="18"/>
      <c r="H562" s="1"/>
    </row>
    <row r="563" spans="5:8" ht="13.2" x14ac:dyDescent="0.25">
      <c r="E563" s="76"/>
      <c r="F563" s="16"/>
      <c r="G563" s="18"/>
      <c r="H563" s="1"/>
    </row>
    <row r="564" spans="5:8" ht="13.2" x14ac:dyDescent="0.25">
      <c r="E564" s="76"/>
      <c r="F564" s="16"/>
      <c r="G564" s="18"/>
      <c r="H564" s="1"/>
    </row>
    <row r="565" spans="5:8" ht="13.2" x14ac:dyDescent="0.25">
      <c r="E565" s="76"/>
      <c r="F565" s="16"/>
      <c r="G565" s="18"/>
      <c r="H565" s="1"/>
    </row>
    <row r="566" spans="5:8" ht="13.2" x14ac:dyDescent="0.25">
      <c r="E566" s="76"/>
      <c r="F566" s="16"/>
      <c r="G566" s="18"/>
      <c r="H566" s="1"/>
    </row>
    <row r="567" spans="5:8" ht="13.2" x14ac:dyDescent="0.25">
      <c r="E567" s="76"/>
      <c r="F567" s="16"/>
      <c r="G567" s="18"/>
      <c r="H567" s="1"/>
    </row>
    <row r="568" spans="5:8" ht="13.2" x14ac:dyDescent="0.25">
      <c r="E568" s="76"/>
      <c r="F568" s="16"/>
      <c r="G568" s="18"/>
      <c r="H568" s="1"/>
    </row>
    <row r="569" spans="5:8" ht="13.2" x14ac:dyDescent="0.25">
      <c r="E569" s="76"/>
      <c r="F569" s="16"/>
      <c r="G569" s="18"/>
      <c r="H569" s="1"/>
    </row>
    <row r="570" spans="5:8" ht="13.2" x14ac:dyDescent="0.25">
      <c r="E570" s="76"/>
      <c r="F570" s="16"/>
      <c r="G570" s="18"/>
      <c r="H570" s="1"/>
    </row>
    <row r="571" spans="5:8" ht="13.2" x14ac:dyDescent="0.25">
      <c r="E571" s="76"/>
      <c r="F571" s="16"/>
      <c r="G571" s="18"/>
      <c r="H571" s="1"/>
    </row>
    <row r="572" spans="5:8" ht="13.2" x14ac:dyDescent="0.25">
      <c r="E572" s="76"/>
      <c r="F572" s="16"/>
      <c r="G572" s="18"/>
      <c r="H572" s="1"/>
    </row>
    <row r="573" spans="5:8" ht="13.2" x14ac:dyDescent="0.25">
      <c r="E573" s="76"/>
      <c r="F573" s="16"/>
      <c r="G573" s="18"/>
      <c r="H573" s="1"/>
    </row>
    <row r="574" spans="5:8" ht="13.2" x14ac:dyDescent="0.25">
      <c r="E574" s="76"/>
      <c r="F574" s="16"/>
      <c r="G574" s="18"/>
      <c r="H574" s="1"/>
    </row>
    <row r="575" spans="5:8" ht="13.2" x14ac:dyDescent="0.25">
      <c r="E575" s="76"/>
      <c r="F575" s="16"/>
      <c r="G575" s="18"/>
      <c r="H575" s="1"/>
    </row>
    <row r="576" spans="5:8" ht="13.2" x14ac:dyDescent="0.25">
      <c r="E576" s="76"/>
      <c r="F576" s="16"/>
      <c r="G576" s="18"/>
      <c r="H576" s="1"/>
    </row>
    <row r="577" spans="5:8" ht="13.2" x14ac:dyDescent="0.25">
      <c r="E577" s="76"/>
      <c r="F577" s="16"/>
      <c r="G577" s="18"/>
      <c r="H577" s="1"/>
    </row>
    <row r="578" spans="5:8" ht="13.2" x14ac:dyDescent="0.25">
      <c r="E578" s="76"/>
      <c r="F578" s="16"/>
      <c r="G578" s="18"/>
      <c r="H578" s="1"/>
    </row>
    <row r="579" spans="5:8" ht="13.2" x14ac:dyDescent="0.25">
      <c r="E579" s="76"/>
      <c r="F579" s="16"/>
      <c r="G579" s="18"/>
      <c r="H579" s="1"/>
    </row>
    <row r="580" spans="5:8" ht="13.2" x14ac:dyDescent="0.25">
      <c r="E580" s="76"/>
      <c r="F580" s="16"/>
      <c r="G580" s="18"/>
      <c r="H580" s="1"/>
    </row>
    <row r="581" spans="5:8" ht="13.2" x14ac:dyDescent="0.25">
      <c r="E581" s="76"/>
      <c r="F581" s="16"/>
      <c r="G581" s="18"/>
      <c r="H581" s="1"/>
    </row>
    <row r="582" spans="5:8" ht="13.2" x14ac:dyDescent="0.25">
      <c r="E582" s="76"/>
      <c r="F582" s="16"/>
      <c r="G582" s="18"/>
      <c r="H582" s="1"/>
    </row>
    <row r="583" spans="5:8" ht="13.2" x14ac:dyDescent="0.25">
      <c r="E583" s="76"/>
      <c r="F583" s="16"/>
      <c r="G583" s="18"/>
      <c r="H583" s="1"/>
    </row>
    <row r="584" spans="5:8" ht="13.2" x14ac:dyDescent="0.25">
      <c r="E584" s="76"/>
      <c r="F584" s="16"/>
      <c r="G584" s="18"/>
      <c r="H584" s="1"/>
    </row>
    <row r="585" spans="5:8" ht="13.2" x14ac:dyDescent="0.25">
      <c r="E585" s="76"/>
      <c r="F585" s="16"/>
      <c r="G585" s="18"/>
      <c r="H585" s="1"/>
    </row>
    <row r="586" spans="5:8" ht="13.2" x14ac:dyDescent="0.25">
      <c r="E586" s="76"/>
      <c r="F586" s="16"/>
      <c r="G586" s="18"/>
      <c r="H586" s="1"/>
    </row>
    <row r="587" spans="5:8" ht="13.2" x14ac:dyDescent="0.25">
      <c r="E587" s="76"/>
      <c r="F587" s="16"/>
      <c r="G587" s="18"/>
      <c r="H587" s="1"/>
    </row>
    <row r="588" spans="5:8" ht="13.2" x14ac:dyDescent="0.25">
      <c r="E588" s="76"/>
      <c r="F588" s="16"/>
      <c r="G588" s="18"/>
      <c r="H588" s="1"/>
    </row>
    <row r="589" spans="5:8" ht="13.2" x14ac:dyDescent="0.25">
      <c r="E589" s="76"/>
      <c r="F589" s="16"/>
      <c r="G589" s="18"/>
      <c r="H589" s="1"/>
    </row>
    <row r="590" spans="5:8" ht="13.2" x14ac:dyDescent="0.25">
      <c r="E590" s="76"/>
      <c r="F590" s="16"/>
      <c r="G590" s="18"/>
      <c r="H590" s="1"/>
    </row>
    <row r="591" spans="5:8" ht="13.2" x14ac:dyDescent="0.25">
      <c r="E591" s="76"/>
      <c r="F591" s="16"/>
      <c r="G591" s="18"/>
      <c r="H591" s="1"/>
    </row>
    <row r="592" spans="5:8" ht="13.2" x14ac:dyDescent="0.25">
      <c r="E592" s="76"/>
      <c r="F592" s="16"/>
      <c r="G592" s="18"/>
      <c r="H592" s="1"/>
    </row>
    <row r="593" spans="5:8" ht="13.2" x14ac:dyDescent="0.25">
      <c r="E593" s="76"/>
      <c r="F593" s="16"/>
      <c r="G593" s="18"/>
      <c r="H593" s="1"/>
    </row>
    <row r="594" spans="5:8" ht="13.2" x14ac:dyDescent="0.25">
      <c r="E594" s="76"/>
      <c r="F594" s="16"/>
      <c r="G594" s="18"/>
      <c r="H594" s="1"/>
    </row>
    <row r="595" spans="5:8" ht="13.2" x14ac:dyDescent="0.25">
      <c r="E595" s="76"/>
      <c r="F595" s="16"/>
      <c r="G595" s="18"/>
      <c r="H595" s="1"/>
    </row>
    <row r="596" spans="5:8" ht="13.2" x14ac:dyDescent="0.25">
      <c r="E596" s="76"/>
      <c r="F596" s="16"/>
      <c r="G596" s="18"/>
      <c r="H596" s="1"/>
    </row>
    <row r="597" spans="5:8" ht="13.2" x14ac:dyDescent="0.25">
      <c r="E597" s="76"/>
      <c r="F597" s="16"/>
      <c r="G597" s="18"/>
      <c r="H597" s="1"/>
    </row>
    <row r="598" spans="5:8" ht="13.2" x14ac:dyDescent="0.25">
      <c r="E598" s="76"/>
      <c r="F598" s="16"/>
      <c r="G598" s="18"/>
      <c r="H598" s="1"/>
    </row>
    <row r="599" spans="5:8" ht="13.2" x14ac:dyDescent="0.25">
      <c r="E599" s="76"/>
      <c r="F599" s="16"/>
      <c r="G599" s="18"/>
      <c r="H599" s="1"/>
    </row>
    <row r="600" spans="5:8" ht="13.2" x14ac:dyDescent="0.25">
      <c r="E600" s="76"/>
      <c r="F600" s="16"/>
      <c r="G600" s="18"/>
      <c r="H600" s="1"/>
    </row>
    <row r="601" spans="5:8" ht="13.2" x14ac:dyDescent="0.25">
      <c r="E601" s="76"/>
      <c r="F601" s="16"/>
      <c r="G601" s="18"/>
      <c r="H601" s="1"/>
    </row>
    <row r="602" spans="5:8" ht="13.2" x14ac:dyDescent="0.25">
      <c r="E602" s="76"/>
      <c r="F602" s="16"/>
      <c r="G602" s="18"/>
      <c r="H602" s="1"/>
    </row>
    <row r="603" spans="5:8" ht="13.2" x14ac:dyDescent="0.25">
      <c r="E603" s="76"/>
      <c r="F603" s="16"/>
      <c r="G603" s="18"/>
      <c r="H603" s="1"/>
    </row>
    <row r="604" spans="5:8" ht="13.2" x14ac:dyDescent="0.25">
      <c r="E604" s="76"/>
      <c r="F604" s="16"/>
      <c r="G604" s="18"/>
      <c r="H604" s="1"/>
    </row>
    <row r="605" spans="5:8" ht="13.2" x14ac:dyDescent="0.25">
      <c r="E605" s="76"/>
      <c r="F605" s="16"/>
      <c r="G605" s="18"/>
      <c r="H605" s="1"/>
    </row>
    <row r="606" spans="5:8" ht="13.2" x14ac:dyDescent="0.25">
      <c r="E606" s="76"/>
      <c r="F606" s="16"/>
      <c r="G606" s="18"/>
      <c r="H606" s="1"/>
    </row>
    <row r="607" spans="5:8" ht="13.2" x14ac:dyDescent="0.25">
      <c r="E607" s="76"/>
      <c r="F607" s="16"/>
      <c r="G607" s="18"/>
      <c r="H607" s="1"/>
    </row>
    <row r="608" spans="5:8" ht="13.2" x14ac:dyDescent="0.25">
      <c r="E608" s="76"/>
      <c r="F608" s="16"/>
      <c r="G608" s="18"/>
      <c r="H608" s="1"/>
    </row>
    <row r="609" spans="5:8" ht="13.2" x14ac:dyDescent="0.25">
      <c r="E609" s="76"/>
      <c r="F609" s="16"/>
      <c r="G609" s="18"/>
      <c r="H609" s="1"/>
    </row>
    <row r="610" spans="5:8" ht="13.2" x14ac:dyDescent="0.25">
      <c r="E610" s="76"/>
      <c r="F610" s="16"/>
      <c r="G610" s="18"/>
      <c r="H610" s="1"/>
    </row>
    <row r="611" spans="5:8" ht="13.2" x14ac:dyDescent="0.25">
      <c r="E611" s="76"/>
      <c r="F611" s="16"/>
      <c r="G611" s="18"/>
      <c r="H611" s="1"/>
    </row>
    <row r="612" spans="5:8" ht="13.2" x14ac:dyDescent="0.25">
      <c r="E612" s="76"/>
      <c r="F612" s="16"/>
      <c r="G612" s="18"/>
      <c r="H612" s="1"/>
    </row>
    <row r="613" spans="5:8" ht="13.2" x14ac:dyDescent="0.25">
      <c r="E613" s="76"/>
      <c r="F613" s="16"/>
      <c r="G613" s="18"/>
      <c r="H613" s="1"/>
    </row>
    <row r="614" spans="5:8" ht="13.2" x14ac:dyDescent="0.25">
      <c r="E614" s="76"/>
      <c r="F614" s="16"/>
      <c r="G614" s="18"/>
      <c r="H614" s="1"/>
    </row>
    <row r="615" spans="5:8" ht="13.2" x14ac:dyDescent="0.25">
      <c r="E615" s="76"/>
      <c r="F615" s="16"/>
      <c r="G615" s="18"/>
      <c r="H615" s="1"/>
    </row>
    <row r="616" spans="5:8" ht="13.2" x14ac:dyDescent="0.25">
      <c r="E616" s="76"/>
      <c r="F616" s="16"/>
      <c r="G616" s="18"/>
      <c r="H616" s="1"/>
    </row>
    <row r="617" spans="5:8" ht="13.2" x14ac:dyDescent="0.25">
      <c r="E617" s="76"/>
      <c r="F617" s="16"/>
      <c r="G617" s="18"/>
      <c r="H617" s="1"/>
    </row>
    <row r="618" spans="5:8" ht="13.2" x14ac:dyDescent="0.25">
      <c r="E618" s="76"/>
      <c r="F618" s="16"/>
      <c r="G618" s="18"/>
      <c r="H618" s="1"/>
    </row>
    <row r="619" spans="5:8" ht="13.2" x14ac:dyDescent="0.25">
      <c r="E619" s="76"/>
      <c r="F619" s="16"/>
      <c r="G619" s="18"/>
      <c r="H619" s="1"/>
    </row>
    <row r="620" spans="5:8" ht="13.2" x14ac:dyDescent="0.25">
      <c r="E620" s="76"/>
      <c r="F620" s="16"/>
      <c r="G620" s="18"/>
      <c r="H620" s="1"/>
    </row>
    <row r="621" spans="5:8" ht="13.2" x14ac:dyDescent="0.25">
      <c r="E621" s="76"/>
      <c r="F621" s="16"/>
      <c r="G621" s="18"/>
      <c r="H621" s="1"/>
    </row>
    <row r="622" spans="5:8" ht="13.2" x14ac:dyDescent="0.25">
      <c r="E622" s="76"/>
      <c r="F622" s="16"/>
      <c r="G622" s="18"/>
      <c r="H622" s="1"/>
    </row>
    <row r="623" spans="5:8" ht="13.2" x14ac:dyDescent="0.25">
      <c r="E623" s="76"/>
      <c r="F623" s="16"/>
      <c r="G623" s="18"/>
      <c r="H623" s="1"/>
    </row>
    <row r="624" spans="5:8" ht="13.2" x14ac:dyDescent="0.25">
      <c r="E624" s="76"/>
      <c r="F624" s="16"/>
      <c r="G624" s="18"/>
      <c r="H624" s="1"/>
    </row>
    <row r="625" spans="5:8" ht="13.2" x14ac:dyDescent="0.25">
      <c r="E625" s="76"/>
      <c r="F625" s="16"/>
      <c r="G625" s="18"/>
      <c r="H625" s="1"/>
    </row>
    <row r="626" spans="5:8" ht="13.2" x14ac:dyDescent="0.25">
      <c r="E626" s="76"/>
      <c r="F626" s="16"/>
      <c r="G626" s="18"/>
      <c r="H626" s="1"/>
    </row>
    <row r="627" spans="5:8" ht="13.2" x14ac:dyDescent="0.25">
      <c r="E627" s="76"/>
      <c r="F627" s="16"/>
      <c r="G627" s="18"/>
      <c r="H627" s="1"/>
    </row>
    <row r="628" spans="5:8" ht="13.2" x14ac:dyDescent="0.25">
      <c r="E628" s="76"/>
      <c r="F628" s="16"/>
      <c r="G628" s="18"/>
      <c r="H628" s="1"/>
    </row>
    <row r="629" spans="5:8" ht="13.2" x14ac:dyDescent="0.25">
      <c r="E629" s="76"/>
      <c r="F629" s="16"/>
      <c r="G629" s="18"/>
      <c r="H629" s="1"/>
    </row>
    <row r="630" spans="5:8" ht="13.2" x14ac:dyDescent="0.25">
      <c r="E630" s="76"/>
      <c r="F630" s="16"/>
      <c r="G630" s="18"/>
      <c r="H630" s="1"/>
    </row>
    <row r="631" spans="5:8" ht="13.2" x14ac:dyDescent="0.25">
      <c r="E631" s="76"/>
      <c r="F631" s="16"/>
      <c r="G631" s="18"/>
      <c r="H631" s="1"/>
    </row>
    <row r="632" spans="5:8" ht="13.2" x14ac:dyDescent="0.25">
      <c r="E632" s="76"/>
      <c r="F632" s="16"/>
      <c r="G632" s="18"/>
      <c r="H632" s="1"/>
    </row>
    <row r="633" spans="5:8" ht="13.2" x14ac:dyDescent="0.25">
      <c r="E633" s="76"/>
      <c r="F633" s="16"/>
      <c r="G633" s="18"/>
      <c r="H633" s="1"/>
    </row>
    <row r="634" spans="5:8" ht="13.2" x14ac:dyDescent="0.25">
      <c r="E634" s="76"/>
      <c r="F634" s="16"/>
      <c r="G634" s="18"/>
      <c r="H634" s="1"/>
    </row>
    <row r="635" spans="5:8" ht="13.2" x14ac:dyDescent="0.25">
      <c r="E635" s="76"/>
      <c r="F635" s="16"/>
      <c r="G635" s="18"/>
      <c r="H635" s="1"/>
    </row>
    <row r="636" spans="5:8" ht="13.2" x14ac:dyDescent="0.25">
      <c r="E636" s="76"/>
      <c r="F636" s="16"/>
      <c r="G636" s="18"/>
      <c r="H636" s="1"/>
    </row>
    <row r="637" spans="5:8" ht="13.2" x14ac:dyDescent="0.25">
      <c r="E637" s="76"/>
      <c r="F637" s="16"/>
      <c r="G637" s="18"/>
      <c r="H637" s="1"/>
    </row>
    <row r="638" spans="5:8" ht="13.2" x14ac:dyDescent="0.25">
      <c r="E638" s="76"/>
      <c r="F638" s="16"/>
      <c r="G638" s="18"/>
      <c r="H638" s="1"/>
    </row>
    <row r="639" spans="5:8" ht="13.2" x14ac:dyDescent="0.25">
      <c r="E639" s="76"/>
      <c r="F639" s="16"/>
      <c r="G639" s="18"/>
      <c r="H639" s="1"/>
    </row>
    <row r="640" spans="5:8" ht="13.2" x14ac:dyDescent="0.25">
      <c r="E640" s="76"/>
      <c r="F640" s="16"/>
      <c r="G640" s="18"/>
      <c r="H640" s="1"/>
    </row>
    <row r="641" spans="5:8" ht="13.2" x14ac:dyDescent="0.25">
      <c r="E641" s="76"/>
      <c r="F641" s="16"/>
      <c r="G641" s="18"/>
      <c r="H641" s="1"/>
    </row>
    <row r="642" spans="5:8" ht="13.2" x14ac:dyDescent="0.25">
      <c r="E642" s="76"/>
      <c r="F642" s="16"/>
      <c r="G642" s="18"/>
      <c r="H642" s="1"/>
    </row>
    <row r="643" spans="5:8" ht="13.2" x14ac:dyDescent="0.25">
      <c r="E643" s="76"/>
      <c r="F643" s="16"/>
      <c r="G643" s="18"/>
      <c r="H643" s="1"/>
    </row>
    <row r="644" spans="5:8" ht="13.2" x14ac:dyDescent="0.25">
      <c r="E644" s="76"/>
      <c r="F644" s="16"/>
      <c r="G644" s="18"/>
      <c r="H644" s="1"/>
    </row>
    <row r="645" spans="5:8" ht="13.2" x14ac:dyDescent="0.25">
      <c r="E645" s="76"/>
      <c r="F645" s="16"/>
      <c r="G645" s="18"/>
      <c r="H645" s="1"/>
    </row>
    <row r="646" spans="5:8" ht="13.2" x14ac:dyDescent="0.25">
      <c r="E646" s="76"/>
      <c r="F646" s="16"/>
      <c r="G646" s="18"/>
      <c r="H646" s="1"/>
    </row>
    <row r="647" spans="5:8" ht="13.2" x14ac:dyDescent="0.25">
      <c r="E647" s="76"/>
      <c r="F647" s="16"/>
      <c r="G647" s="18"/>
      <c r="H647" s="1"/>
    </row>
    <row r="648" spans="5:8" ht="13.2" x14ac:dyDescent="0.25">
      <c r="E648" s="76"/>
      <c r="F648" s="16"/>
      <c r="G648" s="18"/>
      <c r="H648" s="1"/>
    </row>
    <row r="649" spans="5:8" ht="13.2" x14ac:dyDescent="0.25">
      <c r="E649" s="76"/>
      <c r="F649" s="16"/>
      <c r="G649" s="18"/>
      <c r="H649" s="1"/>
    </row>
    <row r="650" spans="5:8" ht="13.2" x14ac:dyDescent="0.25">
      <c r="E650" s="76"/>
      <c r="F650" s="16"/>
      <c r="G650" s="18"/>
      <c r="H650" s="1"/>
    </row>
    <row r="651" spans="5:8" ht="13.2" x14ac:dyDescent="0.25">
      <c r="E651" s="76"/>
      <c r="F651" s="16"/>
      <c r="G651" s="18"/>
      <c r="H651" s="1"/>
    </row>
    <row r="652" spans="5:8" ht="13.2" x14ac:dyDescent="0.25">
      <c r="E652" s="76"/>
      <c r="F652" s="16"/>
      <c r="G652" s="18"/>
      <c r="H652" s="1"/>
    </row>
    <row r="653" spans="5:8" ht="13.2" x14ac:dyDescent="0.25">
      <c r="E653" s="76"/>
      <c r="F653" s="16"/>
      <c r="G653" s="18"/>
      <c r="H653" s="1"/>
    </row>
    <row r="654" spans="5:8" ht="13.2" x14ac:dyDescent="0.25">
      <c r="E654" s="76"/>
      <c r="F654" s="16"/>
      <c r="G654" s="18"/>
      <c r="H654" s="1"/>
    </row>
    <row r="655" spans="5:8" ht="13.2" x14ac:dyDescent="0.25">
      <c r="E655" s="76"/>
      <c r="F655" s="16"/>
      <c r="G655" s="18"/>
      <c r="H655" s="1"/>
    </row>
    <row r="656" spans="5:8" ht="13.2" x14ac:dyDescent="0.25">
      <c r="E656" s="76"/>
      <c r="F656" s="16"/>
      <c r="G656" s="18"/>
      <c r="H656" s="1"/>
    </row>
    <row r="657" spans="5:8" ht="13.2" x14ac:dyDescent="0.25">
      <c r="E657" s="76"/>
      <c r="F657" s="16"/>
      <c r="G657" s="18"/>
      <c r="H657" s="1"/>
    </row>
    <row r="658" spans="5:8" ht="13.2" x14ac:dyDescent="0.25">
      <c r="E658" s="76"/>
      <c r="F658" s="16"/>
      <c r="G658" s="18"/>
      <c r="H658" s="1"/>
    </row>
    <row r="659" spans="5:8" ht="13.2" x14ac:dyDescent="0.25">
      <c r="E659" s="76"/>
      <c r="F659" s="16"/>
      <c r="G659" s="18"/>
      <c r="H659" s="1"/>
    </row>
    <row r="660" spans="5:8" ht="13.2" x14ac:dyDescent="0.25">
      <c r="E660" s="76"/>
      <c r="F660" s="16"/>
      <c r="G660" s="18"/>
      <c r="H660" s="1"/>
    </row>
    <row r="661" spans="5:8" ht="13.2" x14ac:dyDescent="0.25">
      <c r="E661" s="76"/>
      <c r="F661" s="16"/>
      <c r="G661" s="18"/>
      <c r="H661" s="1"/>
    </row>
    <row r="662" spans="5:8" ht="13.2" x14ac:dyDescent="0.25">
      <c r="E662" s="76"/>
      <c r="F662" s="16"/>
      <c r="G662" s="18"/>
      <c r="H662" s="1"/>
    </row>
    <row r="663" spans="5:8" ht="13.2" x14ac:dyDescent="0.25">
      <c r="E663" s="76"/>
      <c r="F663" s="16"/>
      <c r="G663" s="18"/>
      <c r="H663" s="1"/>
    </row>
    <row r="664" spans="5:8" ht="13.2" x14ac:dyDescent="0.25">
      <c r="E664" s="76"/>
      <c r="F664" s="16"/>
      <c r="G664" s="18"/>
      <c r="H664" s="1"/>
    </row>
    <row r="665" spans="5:8" ht="13.2" x14ac:dyDescent="0.25">
      <c r="E665" s="76"/>
      <c r="F665" s="16"/>
      <c r="G665" s="18"/>
      <c r="H665" s="1"/>
    </row>
    <row r="666" spans="5:8" ht="13.2" x14ac:dyDescent="0.25">
      <c r="E666" s="76"/>
      <c r="F666" s="16"/>
      <c r="G666" s="18"/>
      <c r="H666" s="1"/>
    </row>
    <row r="667" spans="5:8" ht="13.2" x14ac:dyDescent="0.25">
      <c r="E667" s="76"/>
      <c r="F667" s="16"/>
      <c r="G667" s="18"/>
      <c r="H667" s="1"/>
    </row>
    <row r="668" spans="5:8" ht="13.2" x14ac:dyDescent="0.25">
      <c r="E668" s="76"/>
      <c r="F668" s="16"/>
      <c r="G668" s="18"/>
      <c r="H668" s="1"/>
    </row>
    <row r="669" spans="5:8" ht="13.2" x14ac:dyDescent="0.25">
      <c r="E669" s="76"/>
      <c r="F669" s="16"/>
      <c r="G669" s="18"/>
      <c r="H669" s="1"/>
    </row>
    <row r="670" spans="5:8" ht="13.2" x14ac:dyDescent="0.25">
      <c r="E670" s="76"/>
      <c r="F670" s="16"/>
      <c r="G670" s="18"/>
      <c r="H670" s="1"/>
    </row>
    <row r="671" spans="5:8" ht="13.2" x14ac:dyDescent="0.25">
      <c r="E671" s="76"/>
      <c r="F671" s="16"/>
      <c r="G671" s="18"/>
      <c r="H671" s="1"/>
    </row>
    <row r="672" spans="5:8" ht="13.2" x14ac:dyDescent="0.25">
      <c r="E672" s="76"/>
      <c r="F672" s="16"/>
      <c r="G672" s="18"/>
      <c r="H672" s="1"/>
    </row>
    <row r="673" spans="5:8" ht="13.2" x14ac:dyDescent="0.25">
      <c r="E673" s="76"/>
      <c r="F673" s="16"/>
      <c r="G673" s="18"/>
      <c r="H673" s="1"/>
    </row>
    <row r="674" spans="5:8" ht="13.2" x14ac:dyDescent="0.25">
      <c r="E674" s="76"/>
      <c r="F674" s="16"/>
      <c r="G674" s="18"/>
      <c r="H674" s="1"/>
    </row>
    <row r="675" spans="5:8" ht="13.2" x14ac:dyDescent="0.25">
      <c r="E675" s="76"/>
      <c r="F675" s="16"/>
      <c r="G675" s="18"/>
      <c r="H675" s="1"/>
    </row>
    <row r="676" spans="5:8" ht="13.2" x14ac:dyDescent="0.25">
      <c r="E676" s="76"/>
      <c r="F676" s="16"/>
      <c r="G676" s="18"/>
      <c r="H676" s="1"/>
    </row>
    <row r="677" spans="5:8" ht="13.2" x14ac:dyDescent="0.25">
      <c r="E677" s="76"/>
      <c r="F677" s="16"/>
      <c r="G677" s="18"/>
      <c r="H677" s="1"/>
    </row>
    <row r="678" spans="5:8" ht="13.2" x14ac:dyDescent="0.25">
      <c r="E678" s="76"/>
      <c r="F678" s="16"/>
      <c r="G678" s="18"/>
      <c r="H678" s="1"/>
    </row>
    <row r="679" spans="5:8" ht="13.2" x14ac:dyDescent="0.25">
      <c r="E679" s="76"/>
      <c r="F679" s="16"/>
      <c r="G679" s="18"/>
      <c r="H679" s="1"/>
    </row>
    <row r="680" spans="5:8" ht="13.2" x14ac:dyDescent="0.25">
      <c r="E680" s="76"/>
      <c r="F680" s="16"/>
      <c r="G680" s="18"/>
      <c r="H680" s="1"/>
    </row>
    <row r="681" spans="5:8" ht="13.2" x14ac:dyDescent="0.25">
      <c r="E681" s="76"/>
      <c r="F681" s="16"/>
      <c r="G681" s="18"/>
      <c r="H681" s="1"/>
    </row>
    <row r="682" spans="5:8" ht="13.2" x14ac:dyDescent="0.25">
      <c r="E682" s="76"/>
      <c r="F682" s="16"/>
      <c r="G682" s="18"/>
      <c r="H682" s="1"/>
    </row>
    <row r="683" spans="5:8" ht="13.2" x14ac:dyDescent="0.25">
      <c r="E683" s="76"/>
      <c r="F683" s="16"/>
      <c r="G683" s="18"/>
      <c r="H683" s="1"/>
    </row>
    <row r="684" spans="5:8" ht="13.2" x14ac:dyDescent="0.25">
      <c r="E684" s="76"/>
      <c r="F684" s="16"/>
      <c r="G684" s="18"/>
      <c r="H684" s="1"/>
    </row>
    <row r="685" spans="5:8" ht="13.2" x14ac:dyDescent="0.25">
      <c r="E685" s="76"/>
      <c r="F685" s="16"/>
      <c r="G685" s="18"/>
      <c r="H685" s="1"/>
    </row>
    <row r="686" spans="5:8" ht="13.2" x14ac:dyDescent="0.25">
      <c r="E686" s="76"/>
      <c r="F686" s="16"/>
      <c r="G686" s="18"/>
      <c r="H686" s="1"/>
    </row>
    <row r="687" spans="5:8" ht="13.2" x14ac:dyDescent="0.25">
      <c r="E687" s="76"/>
      <c r="F687" s="16"/>
      <c r="G687" s="18"/>
      <c r="H687" s="1"/>
    </row>
    <row r="688" spans="5:8" ht="13.2" x14ac:dyDescent="0.25">
      <c r="E688" s="76"/>
      <c r="F688" s="16"/>
      <c r="G688" s="18"/>
      <c r="H688" s="1"/>
    </row>
    <row r="689" spans="5:8" ht="13.2" x14ac:dyDescent="0.25">
      <c r="E689" s="76"/>
      <c r="F689" s="16"/>
      <c r="G689" s="18"/>
      <c r="H689" s="1"/>
    </row>
    <row r="690" spans="5:8" ht="13.2" x14ac:dyDescent="0.25">
      <c r="E690" s="76"/>
      <c r="F690" s="16"/>
      <c r="G690" s="18"/>
      <c r="H690" s="1"/>
    </row>
    <row r="691" spans="5:8" ht="13.2" x14ac:dyDescent="0.25">
      <c r="E691" s="76"/>
      <c r="F691" s="16"/>
      <c r="G691" s="18"/>
      <c r="H691" s="1"/>
    </row>
    <row r="692" spans="5:8" ht="13.2" x14ac:dyDescent="0.25">
      <c r="E692" s="76"/>
      <c r="F692" s="16"/>
      <c r="G692" s="18"/>
      <c r="H692" s="1"/>
    </row>
    <row r="693" spans="5:8" ht="13.2" x14ac:dyDescent="0.25">
      <c r="E693" s="76"/>
      <c r="F693" s="16"/>
      <c r="G693" s="18"/>
      <c r="H693" s="1"/>
    </row>
    <row r="694" spans="5:8" ht="13.2" x14ac:dyDescent="0.25">
      <c r="E694" s="76"/>
      <c r="F694" s="16"/>
      <c r="G694" s="18"/>
      <c r="H694" s="1"/>
    </row>
    <row r="695" spans="5:8" ht="13.2" x14ac:dyDescent="0.25">
      <c r="E695" s="76"/>
      <c r="F695" s="16"/>
      <c r="G695" s="18"/>
      <c r="H695" s="1"/>
    </row>
    <row r="696" spans="5:8" ht="13.2" x14ac:dyDescent="0.25">
      <c r="E696" s="76"/>
      <c r="F696" s="16"/>
      <c r="G696" s="18"/>
      <c r="H696" s="1"/>
    </row>
    <row r="697" spans="5:8" ht="13.2" x14ac:dyDescent="0.25">
      <c r="E697" s="76"/>
      <c r="F697" s="16"/>
      <c r="G697" s="18"/>
      <c r="H697" s="1"/>
    </row>
    <row r="698" spans="5:8" ht="13.2" x14ac:dyDescent="0.25">
      <c r="E698" s="76"/>
      <c r="F698" s="16"/>
      <c r="G698" s="18"/>
      <c r="H698" s="1"/>
    </row>
    <row r="699" spans="5:8" ht="13.2" x14ac:dyDescent="0.25">
      <c r="E699" s="76"/>
      <c r="F699" s="16"/>
      <c r="G699" s="18"/>
      <c r="H699" s="1"/>
    </row>
    <row r="700" spans="5:8" ht="13.2" x14ac:dyDescent="0.25">
      <c r="E700" s="76"/>
      <c r="F700" s="16"/>
      <c r="G700" s="18"/>
      <c r="H700" s="1"/>
    </row>
    <row r="701" spans="5:8" ht="13.2" x14ac:dyDescent="0.25">
      <c r="E701" s="76"/>
      <c r="F701" s="16"/>
      <c r="G701" s="18"/>
      <c r="H701" s="1"/>
    </row>
    <row r="702" spans="5:8" ht="13.2" x14ac:dyDescent="0.25">
      <c r="E702" s="76"/>
      <c r="F702" s="16"/>
      <c r="G702" s="18"/>
      <c r="H702" s="1"/>
    </row>
    <row r="703" spans="5:8" ht="13.2" x14ac:dyDescent="0.25">
      <c r="E703" s="76"/>
      <c r="F703" s="16"/>
      <c r="G703" s="18"/>
      <c r="H703" s="1"/>
    </row>
    <row r="704" spans="5:8" ht="13.2" x14ac:dyDescent="0.25">
      <c r="E704" s="76"/>
      <c r="F704" s="16"/>
      <c r="G704" s="18"/>
      <c r="H704" s="1"/>
    </row>
    <row r="705" spans="5:8" ht="13.2" x14ac:dyDescent="0.25">
      <c r="E705" s="76"/>
      <c r="F705" s="16"/>
      <c r="G705" s="18"/>
      <c r="H705" s="1"/>
    </row>
    <row r="706" spans="5:8" ht="13.2" x14ac:dyDescent="0.25">
      <c r="E706" s="76"/>
      <c r="F706" s="16"/>
      <c r="G706" s="18"/>
      <c r="H706" s="1"/>
    </row>
    <row r="707" spans="5:8" ht="13.2" x14ac:dyDescent="0.25">
      <c r="E707" s="76"/>
      <c r="F707" s="16"/>
      <c r="G707" s="18"/>
      <c r="H707" s="1"/>
    </row>
    <row r="708" spans="5:8" ht="13.2" x14ac:dyDescent="0.25">
      <c r="E708" s="76"/>
      <c r="F708" s="16"/>
      <c r="G708" s="18"/>
      <c r="H708" s="1"/>
    </row>
    <row r="709" spans="5:8" ht="13.2" x14ac:dyDescent="0.25">
      <c r="E709" s="76"/>
      <c r="F709" s="16"/>
      <c r="G709" s="18"/>
      <c r="H709" s="1"/>
    </row>
    <row r="710" spans="5:8" ht="13.2" x14ac:dyDescent="0.25">
      <c r="E710" s="76"/>
      <c r="F710" s="16"/>
      <c r="G710" s="18"/>
      <c r="H710" s="1"/>
    </row>
    <row r="711" spans="5:8" ht="13.2" x14ac:dyDescent="0.25">
      <c r="E711" s="76"/>
      <c r="F711" s="16"/>
      <c r="G711" s="18"/>
      <c r="H711" s="1"/>
    </row>
    <row r="712" spans="5:8" ht="13.2" x14ac:dyDescent="0.25">
      <c r="E712" s="76"/>
      <c r="F712" s="16"/>
      <c r="G712" s="18"/>
      <c r="H712" s="1"/>
    </row>
    <row r="713" spans="5:8" ht="13.2" x14ac:dyDescent="0.25">
      <c r="E713" s="76"/>
      <c r="F713" s="16"/>
      <c r="G713" s="18"/>
      <c r="H713" s="1"/>
    </row>
    <row r="714" spans="5:8" ht="13.2" x14ac:dyDescent="0.25">
      <c r="E714" s="76"/>
      <c r="F714" s="16"/>
      <c r="G714" s="18"/>
      <c r="H714" s="1"/>
    </row>
    <row r="715" spans="5:8" ht="13.2" x14ac:dyDescent="0.25">
      <c r="E715" s="76"/>
      <c r="F715" s="16"/>
      <c r="G715" s="18"/>
      <c r="H715" s="1"/>
    </row>
    <row r="716" spans="5:8" ht="13.2" x14ac:dyDescent="0.25">
      <c r="E716" s="76"/>
      <c r="F716" s="16"/>
      <c r="G716" s="18"/>
      <c r="H716" s="1"/>
    </row>
    <row r="717" spans="5:8" ht="13.2" x14ac:dyDescent="0.25">
      <c r="E717" s="76"/>
      <c r="F717" s="16"/>
      <c r="G717" s="18"/>
      <c r="H717" s="1"/>
    </row>
    <row r="718" spans="5:8" ht="13.2" x14ac:dyDescent="0.25">
      <c r="E718" s="76"/>
      <c r="F718" s="16"/>
      <c r="G718" s="18"/>
      <c r="H718" s="1"/>
    </row>
    <row r="719" spans="5:8" ht="13.2" x14ac:dyDescent="0.25">
      <c r="E719" s="76"/>
      <c r="F719" s="16"/>
      <c r="G719" s="18"/>
      <c r="H719" s="1"/>
    </row>
    <row r="720" spans="5:8" ht="13.2" x14ac:dyDescent="0.25">
      <c r="E720" s="76"/>
      <c r="F720" s="16"/>
      <c r="G720" s="18"/>
      <c r="H720" s="1"/>
    </row>
    <row r="721" spans="5:8" ht="13.2" x14ac:dyDescent="0.25">
      <c r="E721" s="76"/>
      <c r="F721" s="16"/>
      <c r="G721" s="18"/>
      <c r="H721" s="1"/>
    </row>
    <row r="722" spans="5:8" ht="13.2" x14ac:dyDescent="0.25">
      <c r="E722" s="76"/>
      <c r="F722" s="16"/>
      <c r="G722" s="18"/>
      <c r="H722" s="1"/>
    </row>
    <row r="723" spans="5:8" ht="13.2" x14ac:dyDescent="0.25">
      <c r="E723" s="76"/>
      <c r="F723" s="16"/>
      <c r="G723" s="18"/>
      <c r="H723" s="1"/>
    </row>
    <row r="724" spans="5:8" ht="13.2" x14ac:dyDescent="0.25">
      <c r="E724" s="76"/>
      <c r="F724" s="16"/>
      <c r="G724" s="18"/>
      <c r="H724" s="1"/>
    </row>
    <row r="725" spans="5:8" ht="13.2" x14ac:dyDescent="0.25">
      <c r="E725" s="76"/>
      <c r="F725" s="16"/>
      <c r="G725" s="18"/>
      <c r="H725" s="1"/>
    </row>
    <row r="726" spans="5:8" ht="13.2" x14ac:dyDescent="0.25">
      <c r="E726" s="76"/>
      <c r="F726" s="16"/>
      <c r="G726" s="18"/>
      <c r="H726" s="1"/>
    </row>
    <row r="727" spans="5:8" ht="13.2" x14ac:dyDescent="0.25">
      <c r="E727" s="76"/>
      <c r="F727" s="16"/>
      <c r="G727" s="18"/>
      <c r="H727" s="1"/>
    </row>
    <row r="728" spans="5:8" ht="13.2" x14ac:dyDescent="0.25">
      <c r="E728" s="76"/>
      <c r="F728" s="16"/>
      <c r="G728" s="18"/>
      <c r="H728" s="1"/>
    </row>
    <row r="729" spans="5:8" ht="13.2" x14ac:dyDescent="0.25">
      <c r="E729" s="76"/>
      <c r="F729" s="16"/>
      <c r="G729" s="18"/>
      <c r="H729" s="1"/>
    </row>
    <row r="730" spans="5:8" ht="13.2" x14ac:dyDescent="0.25">
      <c r="E730" s="76"/>
      <c r="F730" s="16"/>
      <c r="G730" s="18"/>
      <c r="H730" s="1"/>
    </row>
    <row r="731" spans="5:8" ht="13.2" x14ac:dyDescent="0.25">
      <c r="E731" s="76"/>
      <c r="F731" s="16"/>
      <c r="G731" s="18"/>
      <c r="H731" s="1"/>
    </row>
    <row r="732" spans="5:8" ht="13.2" x14ac:dyDescent="0.25">
      <c r="E732" s="76"/>
      <c r="F732" s="16"/>
      <c r="G732" s="18"/>
      <c r="H732" s="1"/>
    </row>
    <row r="733" spans="5:8" ht="13.2" x14ac:dyDescent="0.25">
      <c r="E733" s="76"/>
      <c r="F733" s="16"/>
      <c r="G733" s="18"/>
      <c r="H733" s="1"/>
    </row>
    <row r="734" spans="5:8" ht="13.2" x14ac:dyDescent="0.25">
      <c r="E734" s="76"/>
      <c r="F734" s="16"/>
      <c r="G734" s="18"/>
      <c r="H734" s="1"/>
    </row>
    <row r="735" spans="5:8" ht="13.2" x14ac:dyDescent="0.25">
      <c r="E735" s="76"/>
      <c r="F735" s="16"/>
      <c r="G735" s="18"/>
      <c r="H735" s="1"/>
    </row>
    <row r="736" spans="5:8" ht="13.2" x14ac:dyDescent="0.25">
      <c r="E736" s="76"/>
      <c r="F736" s="16"/>
      <c r="G736" s="18"/>
      <c r="H736" s="1"/>
    </row>
    <row r="737" spans="5:8" ht="13.2" x14ac:dyDescent="0.25">
      <c r="E737" s="76"/>
      <c r="F737" s="16"/>
      <c r="G737" s="18"/>
      <c r="H737" s="1"/>
    </row>
    <row r="738" spans="5:8" ht="13.2" x14ac:dyDescent="0.25">
      <c r="E738" s="76"/>
      <c r="F738" s="16"/>
      <c r="G738" s="18"/>
      <c r="H738" s="1"/>
    </row>
    <row r="739" spans="5:8" ht="13.2" x14ac:dyDescent="0.25">
      <c r="E739" s="76"/>
      <c r="F739" s="16"/>
      <c r="G739" s="18"/>
      <c r="H739" s="1"/>
    </row>
    <row r="740" spans="5:8" ht="13.2" x14ac:dyDescent="0.25">
      <c r="E740" s="76"/>
      <c r="F740" s="16"/>
      <c r="G740" s="18"/>
      <c r="H740" s="1"/>
    </row>
    <row r="741" spans="5:8" ht="13.2" x14ac:dyDescent="0.25">
      <c r="E741" s="76"/>
      <c r="F741" s="16"/>
      <c r="G741" s="18"/>
      <c r="H741" s="1"/>
    </row>
    <row r="742" spans="5:8" ht="13.2" x14ac:dyDescent="0.25">
      <c r="E742" s="76"/>
      <c r="F742" s="16"/>
      <c r="G742" s="18"/>
      <c r="H742" s="1"/>
    </row>
    <row r="743" spans="5:8" ht="13.2" x14ac:dyDescent="0.25">
      <c r="E743" s="76"/>
      <c r="F743" s="16"/>
      <c r="G743" s="18"/>
      <c r="H743" s="1"/>
    </row>
    <row r="744" spans="5:8" ht="13.2" x14ac:dyDescent="0.25">
      <c r="E744" s="76"/>
      <c r="F744" s="16"/>
      <c r="G744" s="18"/>
      <c r="H744" s="1"/>
    </row>
    <row r="745" spans="5:8" ht="13.2" x14ac:dyDescent="0.25">
      <c r="E745" s="76"/>
      <c r="F745" s="16"/>
      <c r="G745" s="18"/>
      <c r="H745" s="1"/>
    </row>
    <row r="746" spans="5:8" ht="13.2" x14ac:dyDescent="0.25">
      <c r="E746" s="76"/>
      <c r="F746" s="16"/>
      <c r="G746" s="18"/>
      <c r="H746" s="1"/>
    </row>
    <row r="747" spans="5:8" ht="13.2" x14ac:dyDescent="0.25">
      <c r="E747" s="76"/>
      <c r="F747" s="16"/>
      <c r="G747" s="18"/>
      <c r="H747" s="1"/>
    </row>
    <row r="748" spans="5:8" ht="13.2" x14ac:dyDescent="0.25">
      <c r="E748" s="76"/>
      <c r="F748" s="16"/>
      <c r="G748" s="18"/>
      <c r="H748" s="1"/>
    </row>
    <row r="749" spans="5:8" ht="13.2" x14ac:dyDescent="0.25">
      <c r="E749" s="76"/>
      <c r="F749" s="16"/>
      <c r="G749" s="18"/>
      <c r="H749" s="1"/>
    </row>
    <row r="750" spans="5:8" ht="13.2" x14ac:dyDescent="0.25">
      <c r="E750" s="76"/>
      <c r="F750" s="16"/>
      <c r="G750" s="18"/>
      <c r="H750" s="1"/>
    </row>
    <row r="751" spans="5:8" ht="13.2" x14ac:dyDescent="0.25">
      <c r="E751" s="76"/>
      <c r="F751" s="16"/>
      <c r="G751" s="18"/>
      <c r="H751" s="1"/>
    </row>
    <row r="752" spans="5:8" ht="13.2" x14ac:dyDescent="0.25">
      <c r="E752" s="76"/>
      <c r="F752" s="16"/>
      <c r="G752" s="18"/>
      <c r="H752" s="1"/>
    </row>
    <row r="753" spans="5:8" ht="13.2" x14ac:dyDescent="0.25">
      <c r="E753" s="76"/>
      <c r="F753" s="16"/>
      <c r="G753" s="18"/>
      <c r="H753" s="1"/>
    </row>
    <row r="754" spans="5:8" ht="13.2" x14ac:dyDescent="0.25">
      <c r="E754" s="76"/>
      <c r="F754" s="16"/>
      <c r="G754" s="18"/>
      <c r="H754" s="1"/>
    </row>
    <row r="755" spans="5:8" ht="13.2" x14ac:dyDescent="0.25">
      <c r="E755" s="76"/>
      <c r="F755" s="16"/>
      <c r="G755" s="18"/>
      <c r="H755" s="1"/>
    </row>
    <row r="756" spans="5:8" ht="13.2" x14ac:dyDescent="0.25">
      <c r="E756" s="76"/>
      <c r="F756" s="16"/>
      <c r="G756" s="18"/>
      <c r="H756" s="1"/>
    </row>
    <row r="757" spans="5:8" ht="13.2" x14ac:dyDescent="0.25">
      <c r="E757" s="76"/>
      <c r="F757" s="16"/>
      <c r="G757" s="18"/>
      <c r="H757" s="1"/>
    </row>
    <row r="758" spans="5:8" ht="13.2" x14ac:dyDescent="0.25">
      <c r="E758" s="76"/>
      <c r="F758" s="16"/>
      <c r="G758" s="18"/>
      <c r="H758" s="1"/>
    </row>
    <row r="759" spans="5:8" ht="13.2" x14ac:dyDescent="0.25">
      <c r="E759" s="76"/>
      <c r="F759" s="16"/>
      <c r="G759" s="18"/>
      <c r="H759" s="1"/>
    </row>
    <row r="760" spans="5:8" ht="13.2" x14ac:dyDescent="0.25">
      <c r="E760" s="76"/>
      <c r="F760" s="16"/>
      <c r="G760" s="18"/>
      <c r="H760" s="1"/>
    </row>
    <row r="761" spans="5:8" ht="13.2" x14ac:dyDescent="0.25">
      <c r="E761" s="76"/>
      <c r="F761" s="16"/>
      <c r="G761" s="18"/>
      <c r="H761" s="1"/>
    </row>
    <row r="762" spans="5:8" ht="13.2" x14ac:dyDescent="0.25">
      <c r="E762" s="76"/>
      <c r="F762" s="16"/>
      <c r="G762" s="18"/>
      <c r="H762" s="1"/>
    </row>
    <row r="763" spans="5:8" ht="13.2" x14ac:dyDescent="0.25">
      <c r="E763" s="76"/>
      <c r="F763" s="16"/>
      <c r="G763" s="18"/>
      <c r="H763" s="1"/>
    </row>
    <row r="764" spans="5:8" ht="13.2" x14ac:dyDescent="0.25">
      <c r="E764" s="76"/>
      <c r="F764" s="16"/>
      <c r="G764" s="18"/>
      <c r="H764" s="1"/>
    </row>
    <row r="765" spans="5:8" ht="13.2" x14ac:dyDescent="0.25">
      <c r="E765" s="76"/>
      <c r="F765" s="16"/>
      <c r="G765" s="18"/>
      <c r="H765" s="1"/>
    </row>
    <row r="766" spans="5:8" ht="13.2" x14ac:dyDescent="0.25">
      <c r="E766" s="76"/>
      <c r="F766" s="16"/>
      <c r="G766" s="18"/>
      <c r="H766" s="1"/>
    </row>
    <row r="767" spans="5:8" ht="13.2" x14ac:dyDescent="0.25">
      <c r="E767" s="76"/>
      <c r="F767" s="16"/>
      <c r="G767" s="18"/>
      <c r="H767" s="1"/>
    </row>
    <row r="768" spans="5:8" ht="13.2" x14ac:dyDescent="0.25">
      <c r="E768" s="76"/>
      <c r="F768" s="16"/>
      <c r="G768" s="18"/>
      <c r="H768" s="1"/>
    </row>
    <row r="769" spans="5:8" ht="13.2" x14ac:dyDescent="0.25">
      <c r="E769" s="76"/>
      <c r="F769" s="16"/>
      <c r="G769" s="18"/>
      <c r="H769" s="1"/>
    </row>
    <row r="770" spans="5:8" ht="13.2" x14ac:dyDescent="0.25">
      <c r="E770" s="76"/>
      <c r="F770" s="16"/>
      <c r="G770" s="18"/>
      <c r="H770" s="1"/>
    </row>
    <row r="771" spans="5:8" ht="13.2" x14ac:dyDescent="0.25">
      <c r="E771" s="76"/>
      <c r="F771" s="16"/>
      <c r="G771" s="18"/>
      <c r="H771" s="1"/>
    </row>
    <row r="772" spans="5:8" ht="13.2" x14ac:dyDescent="0.25">
      <c r="E772" s="76"/>
      <c r="F772" s="16"/>
      <c r="G772" s="18"/>
      <c r="H772" s="1"/>
    </row>
    <row r="773" spans="5:8" ht="13.2" x14ac:dyDescent="0.25">
      <c r="E773" s="76"/>
      <c r="F773" s="16"/>
      <c r="G773" s="18"/>
      <c r="H773" s="1"/>
    </row>
    <row r="774" spans="5:8" ht="13.2" x14ac:dyDescent="0.25">
      <c r="E774" s="76"/>
      <c r="F774" s="16"/>
      <c r="G774" s="18"/>
      <c r="H774" s="1"/>
    </row>
    <row r="775" spans="5:8" ht="13.2" x14ac:dyDescent="0.25">
      <c r="E775" s="76"/>
      <c r="F775" s="16"/>
      <c r="G775" s="18"/>
      <c r="H775" s="1"/>
    </row>
    <row r="776" spans="5:8" ht="13.2" x14ac:dyDescent="0.25">
      <c r="E776" s="76"/>
      <c r="F776" s="16"/>
      <c r="G776" s="18"/>
      <c r="H776" s="1"/>
    </row>
    <row r="777" spans="5:8" ht="13.2" x14ac:dyDescent="0.25">
      <c r="E777" s="76"/>
      <c r="F777" s="16"/>
      <c r="G777" s="18"/>
      <c r="H777" s="1"/>
    </row>
    <row r="778" spans="5:8" ht="13.2" x14ac:dyDescent="0.25">
      <c r="E778" s="76"/>
      <c r="F778" s="16"/>
      <c r="G778" s="18"/>
      <c r="H778" s="1"/>
    </row>
    <row r="779" spans="5:8" ht="13.2" x14ac:dyDescent="0.25">
      <c r="E779" s="76"/>
      <c r="F779" s="16"/>
      <c r="G779" s="18"/>
      <c r="H779" s="1"/>
    </row>
    <row r="780" spans="5:8" ht="13.2" x14ac:dyDescent="0.25">
      <c r="E780" s="76"/>
      <c r="F780" s="16"/>
      <c r="G780" s="18"/>
      <c r="H780" s="1"/>
    </row>
    <row r="781" spans="5:8" ht="13.2" x14ac:dyDescent="0.25">
      <c r="E781" s="76"/>
      <c r="F781" s="16"/>
      <c r="G781" s="18"/>
      <c r="H781" s="1"/>
    </row>
    <row r="782" spans="5:8" ht="13.2" x14ac:dyDescent="0.25">
      <c r="E782" s="76"/>
      <c r="F782" s="16"/>
      <c r="G782" s="18"/>
      <c r="H782" s="1"/>
    </row>
    <row r="783" spans="5:8" ht="13.2" x14ac:dyDescent="0.25">
      <c r="E783" s="76"/>
      <c r="F783" s="16"/>
      <c r="G783" s="18"/>
      <c r="H783" s="1"/>
    </row>
    <row r="784" spans="5:8" ht="13.2" x14ac:dyDescent="0.25">
      <c r="E784" s="76"/>
      <c r="F784" s="16"/>
      <c r="G784" s="18"/>
      <c r="H784" s="1"/>
    </row>
    <row r="785" spans="5:8" ht="13.2" x14ac:dyDescent="0.25">
      <c r="E785" s="76"/>
      <c r="F785" s="16"/>
      <c r="G785" s="18"/>
      <c r="H785" s="1"/>
    </row>
    <row r="786" spans="5:8" ht="13.2" x14ac:dyDescent="0.25">
      <c r="E786" s="76"/>
      <c r="F786" s="16"/>
      <c r="G786" s="18"/>
      <c r="H786" s="1"/>
    </row>
    <row r="787" spans="5:8" ht="13.2" x14ac:dyDescent="0.25">
      <c r="E787" s="76"/>
      <c r="F787" s="16"/>
      <c r="G787" s="18"/>
      <c r="H787" s="1"/>
    </row>
    <row r="788" spans="5:8" ht="13.2" x14ac:dyDescent="0.25">
      <c r="E788" s="76"/>
      <c r="F788" s="16"/>
      <c r="G788" s="18"/>
      <c r="H788" s="1"/>
    </row>
    <row r="789" spans="5:8" ht="13.2" x14ac:dyDescent="0.25">
      <c r="E789" s="76"/>
      <c r="F789" s="16"/>
      <c r="G789" s="18"/>
      <c r="H789" s="1"/>
    </row>
    <row r="790" spans="5:8" ht="13.2" x14ac:dyDescent="0.25">
      <c r="E790" s="76"/>
      <c r="F790" s="16"/>
      <c r="G790" s="18"/>
      <c r="H790" s="1"/>
    </row>
    <row r="791" spans="5:8" ht="13.2" x14ac:dyDescent="0.25">
      <c r="E791" s="76"/>
      <c r="F791" s="16"/>
      <c r="G791" s="18"/>
      <c r="H791" s="1"/>
    </row>
    <row r="792" spans="5:8" ht="13.2" x14ac:dyDescent="0.25">
      <c r="E792" s="76"/>
      <c r="F792" s="16"/>
      <c r="G792" s="18"/>
      <c r="H792" s="1"/>
    </row>
    <row r="793" spans="5:8" ht="13.2" x14ac:dyDescent="0.25">
      <c r="E793" s="76"/>
      <c r="F793" s="16"/>
      <c r="G793" s="18"/>
      <c r="H793" s="1"/>
    </row>
    <row r="794" spans="5:8" ht="13.2" x14ac:dyDescent="0.25">
      <c r="E794" s="76"/>
      <c r="F794" s="16"/>
      <c r="G794" s="18"/>
      <c r="H794" s="1"/>
    </row>
    <row r="795" spans="5:8" ht="13.2" x14ac:dyDescent="0.25">
      <c r="E795" s="76"/>
      <c r="F795" s="16"/>
      <c r="G795" s="18"/>
      <c r="H795" s="1"/>
    </row>
    <row r="796" spans="5:8" ht="13.2" x14ac:dyDescent="0.25">
      <c r="E796" s="76"/>
      <c r="F796" s="16"/>
      <c r="G796" s="18"/>
      <c r="H796" s="1"/>
    </row>
    <row r="797" spans="5:8" ht="13.2" x14ac:dyDescent="0.25">
      <c r="E797" s="76"/>
      <c r="F797" s="16"/>
      <c r="G797" s="18"/>
      <c r="H797" s="1"/>
    </row>
    <row r="798" spans="5:8" ht="13.2" x14ac:dyDescent="0.25">
      <c r="E798" s="76"/>
      <c r="F798" s="16"/>
      <c r="G798" s="18"/>
      <c r="H798" s="1"/>
    </row>
    <row r="799" spans="5:8" ht="13.2" x14ac:dyDescent="0.25">
      <c r="E799" s="76"/>
      <c r="F799" s="16"/>
      <c r="G799" s="18"/>
      <c r="H799" s="1"/>
    </row>
    <row r="800" spans="5:8" ht="13.2" x14ac:dyDescent="0.25">
      <c r="E800" s="76"/>
      <c r="F800" s="16"/>
      <c r="G800" s="18"/>
      <c r="H800" s="1"/>
    </row>
    <row r="801" spans="5:8" ht="13.2" x14ac:dyDescent="0.25">
      <c r="E801" s="76"/>
      <c r="F801" s="16"/>
      <c r="G801" s="18"/>
      <c r="H801" s="1"/>
    </row>
    <row r="802" spans="5:8" ht="13.2" x14ac:dyDescent="0.25">
      <c r="E802" s="76"/>
      <c r="F802" s="16"/>
      <c r="G802" s="18"/>
      <c r="H802" s="1"/>
    </row>
    <row r="803" spans="5:8" ht="13.2" x14ac:dyDescent="0.25">
      <c r="E803" s="76"/>
      <c r="F803" s="16"/>
      <c r="G803" s="18"/>
      <c r="H803" s="1"/>
    </row>
    <row r="804" spans="5:8" ht="13.2" x14ac:dyDescent="0.25">
      <c r="E804" s="76"/>
      <c r="F804" s="16"/>
      <c r="G804" s="18"/>
      <c r="H804" s="1"/>
    </row>
    <row r="805" spans="5:8" ht="13.2" x14ac:dyDescent="0.25">
      <c r="E805" s="76"/>
      <c r="F805" s="16"/>
      <c r="G805" s="18"/>
      <c r="H805" s="1"/>
    </row>
    <row r="806" spans="5:8" ht="13.2" x14ac:dyDescent="0.25">
      <c r="E806" s="76"/>
      <c r="F806" s="16"/>
      <c r="G806" s="18"/>
      <c r="H806" s="1"/>
    </row>
    <row r="807" spans="5:8" ht="13.2" x14ac:dyDescent="0.25">
      <c r="E807" s="76"/>
      <c r="F807" s="16"/>
      <c r="G807" s="18"/>
      <c r="H807" s="1"/>
    </row>
    <row r="808" spans="5:8" ht="13.2" x14ac:dyDescent="0.25">
      <c r="E808" s="76"/>
      <c r="F808" s="16"/>
      <c r="G808" s="18"/>
      <c r="H808" s="1"/>
    </row>
    <row r="809" spans="5:8" ht="13.2" x14ac:dyDescent="0.25">
      <c r="E809" s="76"/>
      <c r="F809" s="16"/>
      <c r="G809" s="18"/>
      <c r="H809" s="1"/>
    </row>
    <row r="810" spans="5:8" ht="13.2" x14ac:dyDescent="0.25">
      <c r="E810" s="76"/>
      <c r="F810" s="16"/>
      <c r="G810" s="18"/>
      <c r="H810" s="1"/>
    </row>
    <row r="811" spans="5:8" ht="13.2" x14ac:dyDescent="0.25">
      <c r="E811" s="76"/>
      <c r="F811" s="16"/>
      <c r="G811" s="18"/>
      <c r="H811" s="1"/>
    </row>
    <row r="812" spans="5:8" ht="13.2" x14ac:dyDescent="0.25">
      <c r="E812" s="76"/>
      <c r="F812" s="16"/>
      <c r="G812" s="18"/>
      <c r="H812" s="1"/>
    </row>
    <row r="813" spans="5:8" ht="13.2" x14ac:dyDescent="0.25">
      <c r="E813" s="76"/>
      <c r="F813" s="16"/>
      <c r="G813" s="18"/>
      <c r="H813" s="1"/>
    </row>
    <row r="814" spans="5:8" ht="13.2" x14ac:dyDescent="0.25">
      <c r="E814" s="76"/>
      <c r="F814" s="16"/>
      <c r="G814" s="18"/>
      <c r="H814" s="1"/>
    </row>
    <row r="815" spans="5:8" ht="13.2" x14ac:dyDescent="0.25">
      <c r="E815" s="76"/>
      <c r="F815" s="16"/>
      <c r="G815" s="18"/>
      <c r="H815" s="1"/>
    </row>
    <row r="816" spans="5:8" ht="13.2" x14ac:dyDescent="0.25">
      <c r="E816" s="76"/>
      <c r="F816" s="16"/>
      <c r="G816" s="18"/>
      <c r="H816" s="1"/>
    </row>
    <row r="817" spans="5:8" ht="13.2" x14ac:dyDescent="0.25">
      <c r="E817" s="76"/>
      <c r="F817" s="16"/>
      <c r="G817" s="18"/>
      <c r="H817" s="1"/>
    </row>
    <row r="818" spans="5:8" ht="13.2" x14ac:dyDescent="0.25">
      <c r="E818" s="76"/>
      <c r="F818" s="16"/>
      <c r="G818" s="18"/>
      <c r="H818" s="1"/>
    </row>
    <row r="819" spans="5:8" ht="13.2" x14ac:dyDescent="0.25">
      <c r="E819" s="76"/>
      <c r="F819" s="16"/>
      <c r="G819" s="18"/>
      <c r="H819" s="1"/>
    </row>
    <row r="820" spans="5:8" ht="13.2" x14ac:dyDescent="0.25">
      <c r="E820" s="76"/>
      <c r="F820" s="16"/>
      <c r="G820" s="18"/>
      <c r="H820" s="1"/>
    </row>
    <row r="821" spans="5:8" ht="13.2" x14ac:dyDescent="0.25">
      <c r="E821" s="76"/>
      <c r="F821" s="16"/>
      <c r="G821" s="18"/>
      <c r="H821" s="1"/>
    </row>
    <row r="822" spans="5:8" ht="13.2" x14ac:dyDescent="0.25">
      <c r="E822" s="76"/>
      <c r="F822" s="16"/>
      <c r="G822" s="18"/>
      <c r="H822" s="1"/>
    </row>
    <row r="823" spans="5:8" ht="13.2" x14ac:dyDescent="0.25">
      <c r="E823" s="76"/>
      <c r="F823" s="16"/>
      <c r="G823" s="18"/>
      <c r="H823" s="1"/>
    </row>
    <row r="824" spans="5:8" ht="13.2" x14ac:dyDescent="0.25">
      <c r="E824" s="76"/>
      <c r="F824" s="16"/>
      <c r="G824" s="18"/>
      <c r="H824" s="1"/>
    </row>
    <row r="825" spans="5:8" ht="13.2" x14ac:dyDescent="0.25">
      <c r="E825" s="76"/>
      <c r="F825" s="16"/>
      <c r="G825" s="18"/>
      <c r="H825" s="1"/>
    </row>
    <row r="826" spans="5:8" ht="13.2" x14ac:dyDescent="0.25">
      <c r="E826" s="76"/>
      <c r="F826" s="16"/>
      <c r="G826" s="18"/>
      <c r="H826" s="1"/>
    </row>
    <row r="827" spans="5:8" ht="13.2" x14ac:dyDescent="0.25">
      <c r="E827" s="76"/>
      <c r="F827" s="16"/>
      <c r="G827" s="18"/>
      <c r="H827" s="1"/>
    </row>
    <row r="828" spans="5:8" ht="13.2" x14ac:dyDescent="0.25">
      <c r="E828" s="76"/>
      <c r="F828" s="16"/>
      <c r="G828" s="18"/>
      <c r="H828" s="1"/>
    </row>
    <row r="829" spans="5:8" ht="13.2" x14ac:dyDescent="0.25">
      <c r="E829" s="76"/>
      <c r="F829" s="16"/>
      <c r="G829" s="18"/>
      <c r="H829" s="1"/>
    </row>
    <row r="830" spans="5:8" ht="13.2" x14ac:dyDescent="0.25">
      <c r="E830" s="76"/>
      <c r="F830" s="16"/>
      <c r="G830" s="18"/>
      <c r="H830" s="1"/>
    </row>
    <row r="831" spans="5:8" ht="13.2" x14ac:dyDescent="0.25">
      <c r="E831" s="76"/>
      <c r="F831" s="16"/>
      <c r="G831" s="18"/>
      <c r="H831" s="1"/>
    </row>
    <row r="832" spans="5:8" ht="13.2" x14ac:dyDescent="0.25">
      <c r="E832" s="76"/>
      <c r="F832" s="16"/>
      <c r="G832" s="18"/>
      <c r="H832" s="1"/>
    </row>
    <row r="833" spans="5:8" ht="13.2" x14ac:dyDescent="0.25">
      <c r="E833" s="76"/>
      <c r="F833" s="16"/>
      <c r="G833" s="18"/>
      <c r="H833" s="1"/>
    </row>
    <row r="834" spans="5:8" ht="13.2" x14ac:dyDescent="0.25">
      <c r="E834" s="76"/>
      <c r="F834" s="16"/>
      <c r="G834" s="18"/>
      <c r="H834" s="1"/>
    </row>
    <row r="835" spans="5:8" ht="13.2" x14ac:dyDescent="0.25">
      <c r="E835" s="76"/>
      <c r="F835" s="16"/>
      <c r="G835" s="18"/>
      <c r="H835" s="1"/>
    </row>
    <row r="836" spans="5:8" ht="13.2" x14ac:dyDescent="0.25">
      <c r="E836" s="76"/>
      <c r="F836" s="16"/>
      <c r="G836" s="18"/>
      <c r="H836" s="1"/>
    </row>
    <row r="837" spans="5:8" ht="13.2" x14ac:dyDescent="0.25">
      <c r="E837" s="76"/>
      <c r="F837" s="16"/>
      <c r="G837" s="18"/>
      <c r="H837" s="1"/>
    </row>
    <row r="838" spans="5:8" ht="13.2" x14ac:dyDescent="0.25">
      <c r="E838" s="76"/>
      <c r="F838" s="16"/>
      <c r="G838" s="18"/>
      <c r="H838" s="1"/>
    </row>
    <row r="839" spans="5:8" ht="13.2" x14ac:dyDescent="0.25">
      <c r="E839" s="76"/>
      <c r="F839" s="16"/>
      <c r="G839" s="18"/>
      <c r="H839" s="1"/>
    </row>
    <row r="840" spans="5:8" ht="13.2" x14ac:dyDescent="0.25">
      <c r="E840" s="76"/>
      <c r="F840" s="16"/>
      <c r="G840" s="18"/>
      <c r="H840" s="1"/>
    </row>
    <row r="841" spans="5:8" ht="13.2" x14ac:dyDescent="0.25">
      <c r="E841" s="76"/>
      <c r="F841" s="16"/>
      <c r="G841" s="18"/>
      <c r="H841" s="1"/>
    </row>
    <row r="842" spans="5:8" ht="13.2" x14ac:dyDescent="0.25">
      <c r="E842" s="76"/>
      <c r="F842" s="16"/>
      <c r="G842" s="18"/>
      <c r="H842" s="1"/>
    </row>
    <row r="843" spans="5:8" ht="13.2" x14ac:dyDescent="0.25">
      <c r="E843" s="76"/>
      <c r="F843" s="16"/>
      <c r="G843" s="18"/>
      <c r="H843" s="1"/>
    </row>
    <row r="844" spans="5:8" ht="13.2" x14ac:dyDescent="0.25">
      <c r="E844" s="76"/>
      <c r="F844" s="16"/>
      <c r="G844" s="18"/>
      <c r="H844" s="1"/>
    </row>
    <row r="845" spans="5:8" ht="13.2" x14ac:dyDescent="0.25">
      <c r="E845" s="76"/>
      <c r="F845" s="16"/>
      <c r="G845" s="18"/>
      <c r="H845" s="1"/>
    </row>
    <row r="846" spans="5:8" ht="13.2" x14ac:dyDescent="0.25">
      <c r="E846" s="76"/>
      <c r="F846" s="16"/>
      <c r="G846" s="18"/>
      <c r="H846" s="1"/>
    </row>
    <row r="847" spans="5:8" ht="13.2" x14ac:dyDescent="0.25">
      <c r="E847" s="76"/>
      <c r="F847" s="16"/>
      <c r="G847" s="18"/>
      <c r="H847" s="1"/>
    </row>
    <row r="848" spans="5:8" ht="13.2" x14ac:dyDescent="0.25">
      <c r="E848" s="76"/>
      <c r="F848" s="16"/>
      <c r="G848" s="18"/>
      <c r="H848" s="1"/>
    </row>
    <row r="849" spans="5:8" ht="13.2" x14ac:dyDescent="0.25">
      <c r="E849" s="76"/>
      <c r="F849" s="16"/>
      <c r="G849" s="18"/>
      <c r="H849" s="1"/>
    </row>
    <row r="850" spans="5:8" ht="13.2" x14ac:dyDescent="0.25">
      <c r="E850" s="76"/>
      <c r="F850" s="16"/>
      <c r="G850" s="18"/>
      <c r="H850" s="1"/>
    </row>
    <row r="851" spans="5:8" ht="13.2" x14ac:dyDescent="0.25">
      <c r="E851" s="76"/>
      <c r="F851" s="16"/>
      <c r="G851" s="18"/>
      <c r="H851" s="1"/>
    </row>
    <row r="852" spans="5:8" ht="13.2" x14ac:dyDescent="0.25">
      <c r="E852" s="76"/>
      <c r="F852" s="16"/>
      <c r="G852" s="18"/>
      <c r="H852" s="1"/>
    </row>
    <row r="853" spans="5:8" ht="13.2" x14ac:dyDescent="0.25">
      <c r="E853" s="76"/>
      <c r="F853" s="16"/>
      <c r="G853" s="18"/>
      <c r="H853" s="1"/>
    </row>
    <row r="854" spans="5:8" ht="13.2" x14ac:dyDescent="0.25">
      <c r="E854" s="76"/>
      <c r="F854" s="16"/>
      <c r="G854" s="18"/>
      <c r="H854" s="1"/>
    </row>
    <row r="855" spans="5:8" ht="13.2" x14ac:dyDescent="0.25">
      <c r="E855" s="76"/>
      <c r="F855" s="16"/>
      <c r="G855" s="18"/>
      <c r="H855" s="1"/>
    </row>
    <row r="856" spans="5:8" ht="13.2" x14ac:dyDescent="0.25">
      <c r="E856" s="76"/>
      <c r="F856" s="16"/>
      <c r="G856" s="18"/>
      <c r="H856" s="1"/>
    </row>
    <row r="857" spans="5:8" ht="13.2" x14ac:dyDescent="0.25">
      <c r="E857" s="76"/>
      <c r="F857" s="16"/>
      <c r="G857" s="18"/>
      <c r="H857" s="1"/>
    </row>
    <row r="858" spans="5:8" ht="13.2" x14ac:dyDescent="0.25">
      <c r="E858" s="76"/>
      <c r="F858" s="16"/>
      <c r="G858" s="18"/>
      <c r="H858" s="1"/>
    </row>
    <row r="859" spans="5:8" ht="13.2" x14ac:dyDescent="0.25">
      <c r="E859" s="76"/>
      <c r="F859" s="16"/>
      <c r="G859" s="18"/>
      <c r="H859" s="1"/>
    </row>
    <row r="860" spans="5:8" ht="13.2" x14ac:dyDescent="0.25">
      <c r="E860" s="76"/>
      <c r="F860" s="16"/>
      <c r="G860" s="18"/>
      <c r="H860" s="1"/>
    </row>
    <row r="861" spans="5:8" ht="13.2" x14ac:dyDescent="0.25">
      <c r="E861" s="76"/>
      <c r="F861" s="16"/>
      <c r="G861" s="18"/>
      <c r="H861" s="1"/>
    </row>
    <row r="862" spans="5:8" ht="13.2" x14ac:dyDescent="0.25">
      <c r="E862" s="76"/>
      <c r="F862" s="16"/>
      <c r="G862" s="18"/>
      <c r="H862" s="1"/>
    </row>
    <row r="863" spans="5:8" ht="13.2" x14ac:dyDescent="0.25">
      <c r="E863" s="76"/>
      <c r="F863" s="16"/>
      <c r="G863" s="18"/>
      <c r="H863" s="1"/>
    </row>
    <row r="864" spans="5:8" ht="13.2" x14ac:dyDescent="0.25">
      <c r="E864" s="76"/>
      <c r="F864" s="16"/>
      <c r="G864" s="18"/>
      <c r="H864" s="1"/>
    </row>
    <row r="865" spans="5:8" ht="13.2" x14ac:dyDescent="0.25">
      <c r="E865" s="76"/>
      <c r="F865" s="16"/>
      <c r="G865" s="18"/>
      <c r="H865" s="1"/>
    </row>
    <row r="866" spans="5:8" ht="13.2" x14ac:dyDescent="0.25">
      <c r="E866" s="76"/>
      <c r="F866" s="16"/>
      <c r="G866" s="18"/>
      <c r="H866" s="1"/>
    </row>
    <row r="867" spans="5:8" ht="13.2" x14ac:dyDescent="0.25">
      <c r="E867" s="76"/>
      <c r="F867" s="16"/>
      <c r="G867" s="18"/>
      <c r="H867" s="1"/>
    </row>
    <row r="868" spans="5:8" ht="13.2" x14ac:dyDescent="0.25">
      <c r="E868" s="76"/>
      <c r="F868" s="16"/>
      <c r="G868" s="18"/>
      <c r="H868" s="1"/>
    </row>
    <row r="869" spans="5:8" ht="13.2" x14ac:dyDescent="0.25">
      <c r="E869" s="76"/>
      <c r="F869" s="16"/>
      <c r="G869" s="18"/>
      <c r="H869" s="1"/>
    </row>
    <row r="870" spans="5:8" ht="13.2" x14ac:dyDescent="0.25">
      <c r="E870" s="76"/>
      <c r="F870" s="16"/>
      <c r="G870" s="18"/>
      <c r="H870" s="1"/>
    </row>
    <row r="871" spans="5:8" ht="13.2" x14ac:dyDescent="0.25">
      <c r="E871" s="76"/>
      <c r="F871" s="16"/>
      <c r="G871" s="18"/>
      <c r="H871" s="1"/>
    </row>
    <row r="872" spans="5:8" ht="13.2" x14ac:dyDescent="0.25">
      <c r="E872" s="76"/>
      <c r="F872" s="16"/>
      <c r="G872" s="18"/>
      <c r="H872" s="1"/>
    </row>
    <row r="873" spans="5:8" ht="13.2" x14ac:dyDescent="0.25">
      <c r="E873" s="76"/>
      <c r="F873" s="16"/>
      <c r="G873" s="18"/>
      <c r="H873" s="1"/>
    </row>
    <row r="874" spans="5:8" ht="13.2" x14ac:dyDescent="0.25">
      <c r="E874" s="76"/>
      <c r="F874" s="16"/>
      <c r="G874" s="18"/>
      <c r="H874" s="1"/>
    </row>
    <row r="875" spans="5:8" ht="13.2" x14ac:dyDescent="0.25">
      <c r="E875" s="76"/>
      <c r="F875" s="16"/>
      <c r="G875" s="18"/>
      <c r="H875" s="1"/>
    </row>
    <row r="876" spans="5:8" ht="13.2" x14ac:dyDescent="0.25">
      <c r="E876" s="76"/>
      <c r="F876" s="16"/>
      <c r="G876" s="18"/>
      <c r="H876" s="1"/>
    </row>
    <row r="877" spans="5:8" ht="13.2" x14ac:dyDescent="0.25">
      <c r="E877" s="76"/>
      <c r="F877" s="16"/>
      <c r="G877" s="18"/>
      <c r="H877" s="1"/>
    </row>
    <row r="878" spans="5:8" ht="13.2" x14ac:dyDescent="0.25">
      <c r="E878" s="76"/>
      <c r="F878" s="16"/>
      <c r="G878" s="18"/>
      <c r="H878" s="1"/>
    </row>
    <row r="879" spans="5:8" ht="13.2" x14ac:dyDescent="0.25">
      <c r="E879" s="76"/>
      <c r="F879" s="16"/>
      <c r="G879" s="18"/>
      <c r="H879" s="1"/>
    </row>
    <row r="880" spans="5:8" ht="13.2" x14ac:dyDescent="0.25">
      <c r="E880" s="76"/>
      <c r="F880" s="16"/>
      <c r="G880" s="18"/>
      <c r="H880" s="1"/>
    </row>
    <row r="881" spans="5:8" ht="13.2" x14ac:dyDescent="0.25">
      <c r="E881" s="76"/>
      <c r="F881" s="16"/>
      <c r="G881" s="18"/>
      <c r="H881" s="1"/>
    </row>
    <row r="882" spans="5:8" ht="13.2" x14ac:dyDescent="0.25">
      <c r="E882" s="76"/>
      <c r="F882" s="16"/>
      <c r="G882" s="18"/>
      <c r="H882" s="1"/>
    </row>
    <row r="883" spans="5:8" ht="13.2" x14ac:dyDescent="0.25">
      <c r="E883" s="76"/>
      <c r="F883" s="16"/>
      <c r="G883" s="18"/>
      <c r="H883" s="1"/>
    </row>
    <row r="884" spans="5:8" ht="13.2" x14ac:dyDescent="0.25">
      <c r="E884" s="76"/>
      <c r="F884" s="16"/>
      <c r="G884" s="18"/>
      <c r="H884" s="1"/>
    </row>
    <row r="885" spans="5:8" ht="13.2" x14ac:dyDescent="0.25">
      <c r="E885" s="76"/>
      <c r="F885" s="16"/>
      <c r="G885" s="18"/>
      <c r="H885" s="1"/>
    </row>
    <row r="886" spans="5:8" ht="13.2" x14ac:dyDescent="0.25">
      <c r="E886" s="76"/>
      <c r="F886" s="16"/>
      <c r="G886" s="18"/>
      <c r="H886" s="1"/>
    </row>
    <row r="887" spans="5:8" ht="13.2" x14ac:dyDescent="0.25">
      <c r="E887" s="76"/>
      <c r="F887" s="16"/>
      <c r="G887" s="18"/>
      <c r="H887" s="1"/>
    </row>
    <row r="888" spans="5:8" ht="13.2" x14ac:dyDescent="0.25">
      <c r="E888" s="76"/>
      <c r="F888" s="16"/>
      <c r="G888" s="18"/>
      <c r="H888" s="1"/>
    </row>
    <row r="889" spans="5:8" ht="13.2" x14ac:dyDescent="0.25">
      <c r="E889" s="76"/>
      <c r="F889" s="16"/>
      <c r="G889" s="18"/>
      <c r="H889" s="1"/>
    </row>
    <row r="890" spans="5:8" ht="13.2" x14ac:dyDescent="0.25">
      <c r="E890" s="76"/>
      <c r="F890" s="16"/>
      <c r="G890" s="18"/>
      <c r="H890" s="1"/>
    </row>
    <row r="891" spans="5:8" ht="13.2" x14ac:dyDescent="0.25">
      <c r="E891" s="76"/>
      <c r="F891" s="16"/>
      <c r="G891" s="18"/>
      <c r="H891" s="1"/>
    </row>
    <row r="892" spans="5:8" ht="13.2" x14ac:dyDescent="0.25">
      <c r="E892" s="76"/>
      <c r="F892" s="16"/>
      <c r="G892" s="18"/>
      <c r="H892" s="1"/>
    </row>
    <row r="893" spans="5:8" ht="13.2" x14ac:dyDescent="0.25">
      <c r="E893" s="76"/>
      <c r="F893" s="16"/>
      <c r="G893" s="18"/>
      <c r="H893" s="1"/>
    </row>
    <row r="894" spans="5:8" ht="13.2" x14ac:dyDescent="0.25">
      <c r="E894" s="76"/>
      <c r="F894" s="16"/>
      <c r="G894" s="18"/>
      <c r="H894" s="1"/>
    </row>
    <row r="895" spans="5:8" ht="13.2" x14ac:dyDescent="0.25">
      <c r="E895" s="76"/>
      <c r="F895" s="16"/>
      <c r="G895" s="18"/>
      <c r="H895" s="1"/>
    </row>
    <row r="896" spans="5:8" ht="13.2" x14ac:dyDescent="0.25">
      <c r="E896" s="76"/>
      <c r="F896" s="16"/>
      <c r="G896" s="18"/>
      <c r="H896" s="1"/>
    </row>
    <row r="897" spans="5:8" ht="13.2" x14ac:dyDescent="0.25">
      <c r="E897" s="76"/>
      <c r="F897" s="16"/>
      <c r="G897" s="18"/>
      <c r="H897" s="1"/>
    </row>
    <row r="898" spans="5:8" ht="13.2" x14ac:dyDescent="0.25">
      <c r="E898" s="76"/>
      <c r="F898" s="16"/>
      <c r="G898" s="18"/>
      <c r="H898" s="1"/>
    </row>
    <row r="899" spans="5:8" ht="13.2" x14ac:dyDescent="0.25">
      <c r="E899" s="76"/>
      <c r="F899" s="16"/>
      <c r="G899" s="18"/>
      <c r="H899" s="1"/>
    </row>
    <row r="900" spans="5:8" ht="13.2" x14ac:dyDescent="0.25">
      <c r="E900" s="76"/>
      <c r="F900" s="16"/>
      <c r="G900" s="18"/>
      <c r="H900" s="1"/>
    </row>
    <row r="901" spans="5:8" ht="13.2" x14ac:dyDescent="0.25">
      <c r="E901" s="76"/>
      <c r="F901" s="16"/>
      <c r="G901" s="18"/>
      <c r="H901" s="1"/>
    </row>
    <row r="902" spans="5:8" ht="13.2" x14ac:dyDescent="0.25">
      <c r="E902" s="76"/>
      <c r="F902" s="16"/>
      <c r="G902" s="18"/>
      <c r="H902" s="1"/>
    </row>
    <row r="903" spans="5:8" ht="13.2" x14ac:dyDescent="0.25">
      <c r="E903" s="76"/>
      <c r="F903" s="16"/>
      <c r="G903" s="18"/>
      <c r="H903" s="1"/>
    </row>
    <row r="904" spans="5:8" ht="13.2" x14ac:dyDescent="0.25">
      <c r="E904" s="76"/>
      <c r="F904" s="16"/>
      <c r="G904" s="18"/>
      <c r="H904" s="1"/>
    </row>
    <row r="905" spans="5:8" ht="13.2" x14ac:dyDescent="0.25">
      <c r="E905" s="76"/>
      <c r="F905" s="16"/>
      <c r="G905" s="18"/>
      <c r="H905" s="1"/>
    </row>
    <row r="906" spans="5:8" ht="13.2" x14ac:dyDescent="0.25">
      <c r="E906" s="76"/>
      <c r="F906" s="16"/>
      <c r="G906" s="18"/>
      <c r="H906" s="1"/>
    </row>
    <row r="907" spans="5:8" ht="13.2" x14ac:dyDescent="0.25">
      <c r="E907" s="76"/>
      <c r="F907" s="16"/>
      <c r="G907" s="18"/>
      <c r="H907" s="1"/>
    </row>
    <row r="908" spans="5:8" ht="13.2" x14ac:dyDescent="0.25">
      <c r="E908" s="76"/>
      <c r="F908" s="16"/>
      <c r="G908" s="18"/>
      <c r="H908" s="1"/>
    </row>
    <row r="909" spans="5:8" ht="13.2" x14ac:dyDescent="0.25">
      <c r="E909" s="76"/>
      <c r="F909" s="16"/>
      <c r="G909" s="18"/>
      <c r="H909" s="1"/>
    </row>
    <row r="910" spans="5:8" ht="13.2" x14ac:dyDescent="0.25">
      <c r="E910" s="76"/>
      <c r="F910" s="16"/>
      <c r="G910" s="18"/>
      <c r="H910" s="1"/>
    </row>
    <row r="911" spans="5:8" ht="13.2" x14ac:dyDescent="0.25">
      <c r="E911" s="76"/>
      <c r="F911" s="16"/>
      <c r="G911" s="18"/>
      <c r="H911" s="1"/>
    </row>
    <row r="912" spans="5:8" ht="13.2" x14ac:dyDescent="0.25">
      <c r="E912" s="76"/>
      <c r="F912" s="16"/>
      <c r="G912" s="18"/>
      <c r="H912" s="1"/>
    </row>
    <row r="913" spans="5:8" ht="13.2" x14ac:dyDescent="0.25">
      <c r="E913" s="76"/>
      <c r="F913" s="16"/>
      <c r="G913" s="18"/>
      <c r="H913" s="1"/>
    </row>
    <row r="914" spans="5:8" ht="13.2" x14ac:dyDescent="0.25">
      <c r="E914" s="76"/>
      <c r="F914" s="16"/>
      <c r="G914" s="18"/>
      <c r="H914" s="1"/>
    </row>
    <row r="915" spans="5:8" ht="13.2" x14ac:dyDescent="0.25">
      <c r="E915" s="76"/>
      <c r="F915" s="16"/>
      <c r="G915" s="18"/>
      <c r="H915" s="1"/>
    </row>
    <row r="916" spans="5:8" ht="13.2" x14ac:dyDescent="0.25">
      <c r="E916" s="76"/>
      <c r="F916" s="16"/>
      <c r="G916" s="18"/>
      <c r="H916" s="1"/>
    </row>
    <row r="917" spans="5:8" ht="13.2" x14ac:dyDescent="0.25">
      <c r="E917" s="76"/>
      <c r="F917" s="16"/>
      <c r="G917" s="18"/>
      <c r="H917" s="1"/>
    </row>
    <row r="918" spans="5:8" ht="13.2" x14ac:dyDescent="0.25">
      <c r="E918" s="76"/>
      <c r="F918" s="16"/>
      <c r="G918" s="18"/>
      <c r="H918" s="1"/>
    </row>
    <row r="919" spans="5:8" ht="13.2" x14ac:dyDescent="0.25">
      <c r="E919" s="76"/>
      <c r="F919" s="16"/>
      <c r="G919" s="18"/>
      <c r="H919" s="1"/>
    </row>
    <row r="920" spans="5:8" ht="13.2" x14ac:dyDescent="0.25">
      <c r="E920" s="76"/>
      <c r="F920" s="16"/>
      <c r="G920" s="18"/>
      <c r="H920" s="1"/>
    </row>
    <row r="921" spans="5:8" ht="13.2" x14ac:dyDescent="0.25">
      <c r="E921" s="76"/>
      <c r="F921" s="16"/>
      <c r="G921" s="18"/>
      <c r="H921" s="1"/>
    </row>
    <row r="922" spans="5:8" ht="13.2" x14ac:dyDescent="0.25">
      <c r="E922" s="76"/>
      <c r="F922" s="16"/>
      <c r="G922" s="18"/>
      <c r="H922" s="1"/>
    </row>
    <row r="923" spans="5:8" ht="13.2" x14ac:dyDescent="0.25">
      <c r="E923" s="76"/>
      <c r="F923" s="16"/>
      <c r="G923" s="18"/>
      <c r="H923" s="1"/>
    </row>
    <row r="924" spans="5:8" ht="13.2" x14ac:dyDescent="0.25">
      <c r="E924" s="76"/>
      <c r="F924" s="16"/>
      <c r="G924" s="18"/>
      <c r="H924" s="1"/>
    </row>
    <row r="925" spans="5:8" ht="13.2" x14ac:dyDescent="0.25">
      <c r="E925" s="76"/>
      <c r="F925" s="16"/>
      <c r="G925" s="18"/>
      <c r="H925" s="1"/>
    </row>
    <row r="926" spans="5:8" ht="13.2" x14ac:dyDescent="0.25">
      <c r="E926" s="76"/>
      <c r="F926" s="16"/>
      <c r="G926" s="18"/>
      <c r="H926" s="1"/>
    </row>
    <row r="927" spans="5:8" ht="13.2" x14ac:dyDescent="0.25">
      <c r="E927" s="76"/>
      <c r="F927" s="16"/>
      <c r="G927" s="18"/>
      <c r="H927" s="1"/>
    </row>
    <row r="928" spans="5:8" ht="13.2" x14ac:dyDescent="0.25">
      <c r="E928" s="76"/>
      <c r="F928" s="16"/>
      <c r="G928" s="18"/>
      <c r="H928" s="1"/>
    </row>
    <row r="929" spans="5:8" ht="13.2" x14ac:dyDescent="0.25">
      <c r="E929" s="76"/>
      <c r="F929" s="16"/>
      <c r="G929" s="18"/>
      <c r="H929" s="1"/>
    </row>
    <row r="930" spans="5:8" ht="13.2" x14ac:dyDescent="0.25">
      <c r="E930" s="76"/>
      <c r="F930" s="16"/>
      <c r="G930" s="18"/>
      <c r="H930" s="1"/>
    </row>
    <row r="931" spans="5:8" ht="13.2" x14ac:dyDescent="0.25">
      <c r="E931" s="76"/>
      <c r="F931" s="16"/>
      <c r="G931" s="18"/>
      <c r="H931" s="1"/>
    </row>
    <row r="932" spans="5:8" ht="13.2" x14ac:dyDescent="0.25">
      <c r="E932" s="76"/>
      <c r="F932" s="16"/>
      <c r="G932" s="18"/>
      <c r="H932" s="1"/>
    </row>
    <row r="933" spans="5:8" ht="13.2" x14ac:dyDescent="0.25">
      <c r="E933" s="76"/>
      <c r="F933" s="16"/>
      <c r="G933" s="18"/>
      <c r="H933" s="1"/>
    </row>
    <row r="934" spans="5:8" ht="13.2" x14ac:dyDescent="0.25">
      <c r="E934" s="76"/>
      <c r="F934" s="16"/>
      <c r="G934" s="18"/>
      <c r="H934" s="1"/>
    </row>
    <row r="935" spans="5:8" ht="13.2" x14ac:dyDescent="0.25">
      <c r="E935" s="76"/>
      <c r="F935" s="16"/>
      <c r="G935" s="18"/>
      <c r="H935" s="1"/>
    </row>
    <row r="936" spans="5:8" ht="13.2" x14ac:dyDescent="0.25">
      <c r="E936" s="76"/>
      <c r="F936" s="16"/>
      <c r="G936" s="18"/>
      <c r="H936" s="1"/>
    </row>
    <row r="937" spans="5:8" ht="13.2" x14ac:dyDescent="0.25">
      <c r="E937" s="76"/>
      <c r="F937" s="16"/>
      <c r="G937" s="18"/>
      <c r="H937" s="1"/>
    </row>
    <row r="938" spans="5:8" ht="13.2" x14ac:dyDescent="0.25">
      <c r="E938" s="76"/>
      <c r="F938" s="16"/>
      <c r="G938" s="18"/>
      <c r="H938" s="1"/>
    </row>
    <row r="939" spans="5:8" ht="13.2" x14ac:dyDescent="0.25">
      <c r="E939" s="76"/>
      <c r="F939" s="16"/>
      <c r="G939" s="18"/>
      <c r="H939" s="1"/>
    </row>
    <row r="940" spans="5:8" ht="13.2" x14ac:dyDescent="0.25">
      <c r="E940" s="76"/>
      <c r="F940" s="16"/>
      <c r="G940" s="18"/>
      <c r="H940" s="1"/>
    </row>
    <row r="941" spans="5:8" ht="13.2" x14ac:dyDescent="0.25">
      <c r="E941" s="76"/>
      <c r="F941" s="16"/>
      <c r="G941" s="18"/>
      <c r="H941" s="1"/>
    </row>
    <row r="942" spans="5:8" ht="13.2" x14ac:dyDescent="0.25">
      <c r="E942" s="76"/>
      <c r="F942" s="16"/>
      <c r="G942" s="18"/>
      <c r="H942" s="1"/>
    </row>
    <row r="943" spans="5:8" ht="13.2" x14ac:dyDescent="0.25">
      <c r="E943" s="76"/>
      <c r="F943" s="16"/>
      <c r="G943" s="18"/>
      <c r="H943" s="1"/>
    </row>
    <row r="944" spans="5:8" ht="13.2" x14ac:dyDescent="0.25">
      <c r="E944" s="76"/>
      <c r="F944" s="16"/>
      <c r="G944" s="18"/>
      <c r="H944" s="1"/>
    </row>
    <row r="945" spans="5:8" ht="13.2" x14ac:dyDescent="0.25">
      <c r="E945" s="76"/>
      <c r="F945" s="16"/>
      <c r="G945" s="18"/>
      <c r="H945" s="1"/>
    </row>
    <row r="946" spans="5:8" ht="13.2" x14ac:dyDescent="0.25">
      <c r="E946" s="76"/>
      <c r="F946" s="16"/>
      <c r="G946" s="18"/>
      <c r="H946" s="1"/>
    </row>
    <row r="947" spans="5:8" ht="13.2" x14ac:dyDescent="0.25">
      <c r="E947" s="76"/>
      <c r="F947" s="16"/>
      <c r="G947" s="18"/>
      <c r="H947" s="1"/>
    </row>
    <row r="948" spans="5:8" ht="13.2" x14ac:dyDescent="0.25">
      <c r="E948" s="76"/>
      <c r="F948" s="16"/>
      <c r="G948" s="18"/>
      <c r="H948" s="1"/>
    </row>
    <row r="949" spans="5:8" ht="13.2" x14ac:dyDescent="0.25">
      <c r="E949" s="76"/>
      <c r="F949" s="16"/>
      <c r="G949" s="18"/>
      <c r="H949" s="1"/>
    </row>
    <row r="950" spans="5:8" ht="13.2" x14ac:dyDescent="0.25">
      <c r="E950" s="76"/>
      <c r="F950" s="16"/>
      <c r="G950" s="18"/>
      <c r="H950" s="1"/>
    </row>
    <row r="951" spans="5:8" ht="13.2" x14ac:dyDescent="0.25">
      <c r="E951" s="76"/>
      <c r="F951" s="16"/>
      <c r="G951" s="18"/>
      <c r="H951" s="1"/>
    </row>
    <row r="952" spans="5:8" ht="13.2" x14ac:dyDescent="0.25">
      <c r="E952" s="76"/>
      <c r="F952" s="16"/>
      <c r="G952" s="18"/>
      <c r="H952" s="1"/>
    </row>
    <row r="953" spans="5:8" ht="13.2" x14ac:dyDescent="0.25">
      <c r="E953" s="76"/>
      <c r="F953" s="16"/>
      <c r="G953" s="18"/>
      <c r="H953" s="1"/>
    </row>
    <row r="954" spans="5:8" ht="13.2" x14ac:dyDescent="0.25">
      <c r="E954" s="76"/>
      <c r="F954" s="16"/>
      <c r="G954" s="18"/>
      <c r="H954" s="1"/>
    </row>
    <row r="955" spans="5:8" ht="13.2" x14ac:dyDescent="0.25">
      <c r="E955" s="76"/>
      <c r="F955" s="16"/>
      <c r="G955" s="18"/>
      <c r="H955" s="1"/>
    </row>
    <row r="956" spans="5:8" ht="13.2" x14ac:dyDescent="0.25">
      <c r="E956" s="76"/>
      <c r="F956" s="16"/>
      <c r="G956" s="18"/>
      <c r="H956" s="1"/>
    </row>
    <row r="957" spans="5:8" ht="13.2" x14ac:dyDescent="0.25">
      <c r="E957" s="76"/>
      <c r="F957" s="16"/>
      <c r="G957" s="18"/>
      <c r="H957" s="1"/>
    </row>
    <row r="958" spans="5:8" ht="13.2" x14ac:dyDescent="0.25">
      <c r="E958" s="76"/>
      <c r="F958" s="16"/>
      <c r="G958" s="18"/>
      <c r="H958" s="1"/>
    </row>
    <row r="959" spans="5:8" ht="13.2" x14ac:dyDescent="0.25">
      <c r="E959" s="76"/>
      <c r="F959" s="16"/>
      <c r="G959" s="18"/>
      <c r="H959" s="1"/>
    </row>
    <row r="960" spans="5:8" ht="13.2" x14ac:dyDescent="0.25">
      <c r="E960" s="76"/>
      <c r="F960" s="16"/>
      <c r="G960" s="18"/>
      <c r="H960" s="1"/>
    </row>
    <row r="961" spans="5:8" ht="13.2" x14ac:dyDescent="0.25">
      <c r="E961" s="76"/>
      <c r="F961" s="16"/>
      <c r="G961" s="18"/>
      <c r="H961" s="1"/>
    </row>
    <row r="962" spans="5:8" ht="13.2" x14ac:dyDescent="0.25">
      <c r="E962" s="76"/>
      <c r="F962" s="16"/>
      <c r="G962" s="18"/>
      <c r="H962" s="1"/>
    </row>
    <row r="963" spans="5:8" ht="13.2" x14ac:dyDescent="0.25">
      <c r="E963" s="76"/>
      <c r="F963" s="16"/>
      <c r="G963" s="18"/>
      <c r="H963" s="1"/>
    </row>
    <row r="964" spans="5:8" ht="13.2" x14ac:dyDescent="0.25">
      <c r="E964" s="76"/>
      <c r="F964" s="16"/>
      <c r="G964" s="18"/>
      <c r="H964" s="1"/>
    </row>
    <row r="965" spans="5:8" ht="13.2" x14ac:dyDescent="0.25">
      <c r="E965" s="76"/>
      <c r="F965" s="16"/>
      <c r="G965" s="18"/>
      <c r="H965" s="1"/>
    </row>
    <row r="966" spans="5:8" ht="13.2" x14ac:dyDescent="0.25">
      <c r="E966" s="76"/>
      <c r="F966" s="16"/>
      <c r="G966" s="18"/>
      <c r="H966" s="1"/>
    </row>
    <row r="967" spans="5:8" ht="13.2" x14ac:dyDescent="0.25">
      <c r="E967" s="76"/>
      <c r="F967" s="16"/>
      <c r="G967" s="18"/>
      <c r="H967" s="1"/>
    </row>
    <row r="968" spans="5:8" ht="13.2" x14ac:dyDescent="0.25">
      <c r="E968" s="76"/>
      <c r="F968" s="16"/>
      <c r="G968" s="18"/>
      <c r="H968" s="1"/>
    </row>
    <row r="969" spans="5:8" ht="13.2" x14ac:dyDescent="0.25">
      <c r="E969" s="76"/>
      <c r="F969" s="16"/>
      <c r="G969" s="18"/>
      <c r="H969" s="1"/>
    </row>
    <row r="970" spans="5:8" ht="13.2" x14ac:dyDescent="0.25">
      <c r="E970" s="76"/>
      <c r="F970" s="16"/>
      <c r="G970" s="18"/>
      <c r="H970" s="1"/>
    </row>
    <row r="971" spans="5:8" ht="13.2" x14ac:dyDescent="0.25">
      <c r="E971" s="76"/>
      <c r="F971" s="16"/>
      <c r="G971" s="18"/>
      <c r="H971" s="1"/>
    </row>
    <row r="972" spans="5:8" ht="13.2" x14ac:dyDescent="0.25">
      <c r="E972" s="76"/>
      <c r="F972" s="16"/>
      <c r="G972" s="18"/>
      <c r="H972" s="1"/>
    </row>
    <row r="973" spans="5:8" ht="13.2" x14ac:dyDescent="0.25">
      <c r="E973" s="76"/>
      <c r="F973" s="16"/>
      <c r="G973" s="18"/>
      <c r="H973" s="1"/>
    </row>
    <row r="974" spans="5:8" ht="13.2" x14ac:dyDescent="0.25">
      <c r="E974" s="76"/>
      <c r="F974" s="16"/>
      <c r="G974" s="18"/>
      <c r="H974" s="1"/>
    </row>
    <row r="975" spans="5:8" ht="13.2" x14ac:dyDescent="0.25">
      <c r="E975" s="76"/>
      <c r="F975" s="16"/>
      <c r="G975" s="18"/>
      <c r="H975" s="1"/>
    </row>
    <row r="976" spans="5:8" ht="13.2" x14ac:dyDescent="0.25">
      <c r="E976" s="76"/>
      <c r="F976" s="16"/>
      <c r="G976" s="18"/>
      <c r="H976" s="1"/>
    </row>
    <row r="977" spans="5:8" ht="13.2" x14ac:dyDescent="0.25">
      <c r="E977" s="76"/>
      <c r="F977" s="16"/>
      <c r="G977" s="18"/>
      <c r="H977" s="1"/>
    </row>
    <row r="978" spans="5:8" ht="13.2" x14ac:dyDescent="0.25">
      <c r="E978" s="76"/>
      <c r="F978" s="16"/>
      <c r="G978" s="18"/>
      <c r="H978" s="1"/>
    </row>
    <row r="979" spans="5:8" ht="13.2" x14ac:dyDescent="0.25">
      <c r="E979" s="76"/>
      <c r="F979" s="16"/>
      <c r="G979" s="18"/>
      <c r="H979" s="1"/>
    </row>
    <row r="980" spans="5:8" ht="13.2" x14ac:dyDescent="0.25">
      <c r="E980" s="76"/>
      <c r="F980" s="16"/>
      <c r="G980" s="18"/>
      <c r="H980" s="1"/>
    </row>
    <row r="981" spans="5:8" ht="13.2" x14ac:dyDescent="0.25">
      <c r="E981" s="76"/>
      <c r="F981" s="16"/>
      <c r="G981" s="18"/>
      <c r="H981" s="1"/>
    </row>
    <row r="982" spans="5:8" ht="13.2" x14ac:dyDescent="0.25">
      <c r="E982" s="76"/>
      <c r="F982" s="16"/>
      <c r="G982" s="18"/>
      <c r="H982" s="1"/>
    </row>
    <row r="983" spans="5:8" ht="13.2" x14ac:dyDescent="0.25">
      <c r="E983" s="76"/>
      <c r="F983" s="16"/>
      <c r="G983" s="18"/>
      <c r="H983" s="1"/>
    </row>
    <row r="984" spans="5:8" ht="13.2" x14ac:dyDescent="0.25">
      <c r="E984" s="76"/>
      <c r="F984" s="16"/>
      <c r="G984" s="18"/>
      <c r="H984" s="1"/>
    </row>
    <row r="985" spans="5:8" ht="13.2" x14ac:dyDescent="0.25">
      <c r="E985" s="76"/>
      <c r="F985" s="16"/>
      <c r="G985" s="18"/>
      <c r="H985" s="1"/>
    </row>
    <row r="986" spans="5:8" ht="13.2" x14ac:dyDescent="0.25">
      <c r="E986" s="76"/>
      <c r="F986" s="16"/>
      <c r="G986" s="18"/>
      <c r="H986" s="1"/>
    </row>
    <row r="987" spans="5:8" ht="13.2" x14ac:dyDescent="0.25">
      <c r="E987" s="76"/>
      <c r="F987" s="16"/>
      <c r="G987" s="18"/>
      <c r="H987" s="1"/>
    </row>
    <row r="988" spans="5:8" ht="13.2" x14ac:dyDescent="0.25">
      <c r="E988" s="76"/>
      <c r="F988" s="16"/>
      <c r="G988" s="18"/>
      <c r="H988" s="1"/>
    </row>
    <row r="989" spans="5:8" ht="13.2" x14ac:dyDescent="0.25">
      <c r="E989" s="76"/>
      <c r="F989" s="16"/>
      <c r="G989" s="18"/>
      <c r="H989" s="1"/>
    </row>
    <row r="990" spans="5:8" ht="13.2" x14ac:dyDescent="0.25">
      <c r="E990" s="76"/>
      <c r="F990" s="16"/>
      <c r="G990" s="18"/>
      <c r="H990" s="1"/>
    </row>
    <row r="991" spans="5:8" ht="13.2" x14ac:dyDescent="0.25">
      <c r="E991" s="76"/>
      <c r="F991" s="16"/>
      <c r="G991" s="18"/>
      <c r="H991" s="1"/>
    </row>
    <row r="992" spans="5:8" ht="13.2" x14ac:dyDescent="0.25">
      <c r="E992" s="76"/>
      <c r="F992" s="16"/>
      <c r="G992" s="18"/>
      <c r="H992" s="1"/>
    </row>
    <row r="993" spans="5:8" ht="13.2" x14ac:dyDescent="0.25">
      <c r="E993" s="76"/>
      <c r="F993" s="16"/>
      <c r="G993" s="18"/>
      <c r="H993" s="1"/>
    </row>
    <row r="994" spans="5:8" ht="13.2" x14ac:dyDescent="0.25">
      <c r="E994" s="76"/>
      <c r="F994" s="16"/>
      <c r="G994" s="18"/>
      <c r="H994" s="1"/>
    </row>
    <row r="995" spans="5:8" ht="13.2" x14ac:dyDescent="0.25">
      <c r="E995" s="76"/>
      <c r="F995" s="16"/>
      <c r="G995" s="18"/>
      <c r="H995" s="1"/>
    </row>
    <row r="996" spans="5:8" ht="13.2" x14ac:dyDescent="0.25">
      <c r="E996" s="76"/>
      <c r="F996" s="16"/>
      <c r="G996" s="18"/>
      <c r="H996" s="1"/>
    </row>
  </sheetData>
  <mergeCells count="2">
    <mergeCell ref="D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67"/>
  <sheetViews>
    <sheetView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D24" sqref="D24"/>
    </sheetView>
  </sheetViews>
  <sheetFormatPr defaultColWidth="12.6640625" defaultRowHeight="15.75" customHeight="1" x14ac:dyDescent="0.25"/>
  <cols>
    <col min="1" max="1" width="3.21875" customWidth="1"/>
    <col min="2" max="2" width="33.109375" customWidth="1"/>
    <col min="4" max="4" width="16.33203125" customWidth="1"/>
  </cols>
  <sheetData>
    <row r="1" spans="1:14" ht="28.5" customHeight="1" x14ac:dyDescent="0.25">
      <c r="A1" s="1"/>
      <c r="B1" s="1"/>
      <c r="C1" s="170" t="s">
        <v>0</v>
      </c>
      <c r="D1" s="171"/>
      <c r="E1" s="170" t="s">
        <v>1</v>
      </c>
      <c r="F1" s="171"/>
      <c r="G1" s="1"/>
      <c r="H1" s="1"/>
      <c r="I1" s="1"/>
      <c r="J1" s="1"/>
      <c r="K1" s="1"/>
      <c r="L1" s="1"/>
      <c r="M1" s="1"/>
      <c r="N1" s="1"/>
    </row>
    <row r="2" spans="1:14" ht="32.25" customHeight="1" x14ac:dyDescent="0.25">
      <c r="A2" s="1"/>
      <c r="B2" s="3" t="s">
        <v>4</v>
      </c>
      <c r="C2" s="5" t="s">
        <v>5</v>
      </c>
      <c r="D2" s="6" t="s">
        <v>6</v>
      </c>
      <c r="E2" s="7" t="s">
        <v>5</v>
      </c>
      <c r="F2" s="8">
        <v>46235</v>
      </c>
      <c r="G2" s="1"/>
      <c r="H2" s="1"/>
      <c r="I2" s="1"/>
      <c r="J2" s="1"/>
      <c r="K2" s="1"/>
      <c r="L2" s="1"/>
      <c r="M2" s="1"/>
      <c r="N2" s="1"/>
    </row>
    <row r="3" spans="1:14" ht="19.2" x14ac:dyDescent="0.25">
      <c r="A3" s="1"/>
      <c r="B3" s="81" t="s">
        <v>1175</v>
      </c>
      <c r="C3" s="81"/>
      <c r="D3" s="75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25">
      <c r="A4" s="1"/>
      <c r="B4" s="82" t="s">
        <v>1180</v>
      </c>
      <c r="C4" s="82"/>
      <c r="D4" s="7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6" x14ac:dyDescent="0.25">
      <c r="A5" s="1"/>
      <c r="B5" s="83">
        <v>20</v>
      </c>
      <c r="C5" s="23" t="s">
        <v>1189</v>
      </c>
      <c r="D5" s="27">
        <v>6.6</v>
      </c>
      <c r="E5" s="23"/>
      <c r="F5" s="27"/>
      <c r="G5" s="1"/>
      <c r="H5" s="1"/>
      <c r="I5" s="1"/>
      <c r="J5" s="1"/>
      <c r="K5" s="1"/>
      <c r="L5" s="1"/>
      <c r="M5" s="1"/>
      <c r="N5" s="1"/>
    </row>
    <row r="6" spans="1:14" ht="15.6" x14ac:dyDescent="0.25">
      <c r="A6" s="1"/>
      <c r="B6" s="84">
        <v>25</v>
      </c>
      <c r="C6" s="23" t="s">
        <v>1197</v>
      </c>
      <c r="D6" s="27">
        <v>12.2</v>
      </c>
      <c r="E6" s="23"/>
      <c r="F6" s="27"/>
      <c r="G6" s="1"/>
      <c r="H6" s="1"/>
      <c r="I6" s="1"/>
      <c r="J6" s="1"/>
      <c r="K6" s="1"/>
      <c r="L6" s="1"/>
      <c r="M6" s="1"/>
      <c r="N6" s="1"/>
    </row>
    <row r="7" spans="1:14" ht="15.6" x14ac:dyDescent="0.25">
      <c r="A7" s="1"/>
      <c r="B7" s="84">
        <v>32</v>
      </c>
      <c r="C7" s="23" t="s">
        <v>1201</v>
      </c>
      <c r="D7" s="27">
        <v>17.100000000000001</v>
      </c>
      <c r="E7" s="23"/>
      <c r="F7" s="27"/>
      <c r="G7" s="1"/>
      <c r="H7" s="1"/>
      <c r="I7" s="1"/>
      <c r="J7" s="1"/>
      <c r="K7" s="1"/>
      <c r="L7" s="1"/>
      <c r="M7" s="1"/>
      <c r="N7" s="1"/>
    </row>
    <row r="8" spans="1:14" ht="15.6" x14ac:dyDescent="0.25">
      <c r="A8" s="1"/>
      <c r="B8" s="84">
        <v>40</v>
      </c>
      <c r="C8" s="23" t="s">
        <v>1203</v>
      </c>
      <c r="D8" s="27">
        <v>23.1</v>
      </c>
      <c r="E8" s="23"/>
      <c r="F8" s="27"/>
      <c r="G8" s="1"/>
      <c r="H8" s="1"/>
      <c r="I8" s="1"/>
      <c r="J8" s="1"/>
      <c r="K8" s="1"/>
      <c r="L8" s="1"/>
      <c r="M8" s="1"/>
      <c r="N8" s="1"/>
    </row>
    <row r="9" spans="1:14" ht="15.6" x14ac:dyDescent="0.25">
      <c r="A9" s="1"/>
      <c r="B9" s="84">
        <v>50</v>
      </c>
      <c r="C9" s="23" t="s">
        <v>1207</v>
      </c>
      <c r="D9" s="27">
        <v>34</v>
      </c>
      <c r="E9" s="23"/>
      <c r="F9" s="27"/>
      <c r="G9" s="1"/>
      <c r="H9" s="1"/>
      <c r="I9" s="1"/>
      <c r="J9" s="1"/>
      <c r="K9" s="1"/>
      <c r="L9" s="1"/>
      <c r="M9" s="1"/>
      <c r="N9" s="1"/>
    </row>
    <row r="10" spans="1:14" ht="15.6" x14ac:dyDescent="0.25">
      <c r="A10" s="1"/>
      <c r="B10" s="82" t="s">
        <v>1211</v>
      </c>
      <c r="C10" s="85"/>
      <c r="D10" s="86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6" x14ac:dyDescent="0.25">
      <c r="A11" s="1"/>
      <c r="B11" s="83">
        <v>20</v>
      </c>
      <c r="C11" s="23" t="s">
        <v>1217</v>
      </c>
      <c r="D11" s="27">
        <v>13.7</v>
      </c>
      <c r="E11" s="23"/>
      <c r="F11" s="27"/>
      <c r="G11" s="1"/>
      <c r="H11" s="1"/>
      <c r="I11" s="1"/>
      <c r="J11" s="1"/>
      <c r="K11" s="1"/>
      <c r="L11" s="1"/>
      <c r="M11" s="1"/>
      <c r="N11" s="1"/>
    </row>
    <row r="12" spans="1:14" ht="15.6" x14ac:dyDescent="0.25">
      <c r="A12" s="1"/>
      <c r="B12" s="84">
        <v>25</v>
      </c>
      <c r="C12" s="23" t="s">
        <v>1223</v>
      </c>
      <c r="D12" s="27">
        <v>22</v>
      </c>
      <c r="E12" s="23"/>
      <c r="F12" s="27"/>
      <c r="G12" s="1"/>
      <c r="H12" s="1"/>
      <c r="I12" s="1"/>
      <c r="J12" s="1"/>
      <c r="K12" s="1"/>
      <c r="L12" s="1"/>
      <c r="M12" s="1"/>
      <c r="N12" s="1"/>
    </row>
    <row r="13" spans="1:14" ht="15.6" x14ac:dyDescent="0.25">
      <c r="A13" s="1"/>
      <c r="B13" s="84">
        <v>32</v>
      </c>
      <c r="C13" s="23" t="s">
        <v>1228</v>
      </c>
      <c r="D13" s="27">
        <v>32.4</v>
      </c>
      <c r="E13" s="23"/>
      <c r="F13" s="27"/>
      <c r="G13" s="1"/>
      <c r="H13" s="1"/>
      <c r="I13" s="1"/>
      <c r="J13" s="1"/>
      <c r="K13" s="1"/>
      <c r="L13" s="1"/>
      <c r="M13" s="1"/>
      <c r="N13" s="1"/>
    </row>
    <row r="14" spans="1:14" ht="15.6" x14ac:dyDescent="0.25">
      <c r="A14" s="1"/>
      <c r="B14" s="84">
        <v>40</v>
      </c>
      <c r="C14" s="23" t="s">
        <v>1232</v>
      </c>
      <c r="D14" s="27">
        <v>48</v>
      </c>
      <c r="E14" s="23"/>
      <c r="F14" s="27"/>
      <c r="G14" s="1"/>
      <c r="H14" s="1"/>
      <c r="I14" s="1"/>
      <c r="J14" s="1"/>
      <c r="K14" s="1"/>
      <c r="L14" s="1"/>
      <c r="M14" s="1"/>
      <c r="N14" s="1"/>
    </row>
    <row r="15" spans="1:14" ht="15.6" x14ac:dyDescent="0.25">
      <c r="A15" s="1"/>
      <c r="B15" s="84">
        <v>50</v>
      </c>
      <c r="C15" s="23" t="s">
        <v>1234</v>
      </c>
      <c r="D15" s="27">
        <v>72.5</v>
      </c>
      <c r="E15" s="23"/>
      <c r="F15" s="27"/>
      <c r="G15" s="1"/>
      <c r="H15" s="1"/>
      <c r="I15" s="1"/>
      <c r="J15" s="1"/>
      <c r="K15" s="1"/>
      <c r="L15" s="1"/>
      <c r="M15" s="1"/>
      <c r="N15" s="1"/>
    </row>
    <row r="16" spans="1:14" ht="15.6" x14ac:dyDescent="0.25">
      <c r="A16" s="1"/>
      <c r="B16" s="82" t="s">
        <v>1237</v>
      </c>
      <c r="C16" s="85"/>
      <c r="D16" s="86"/>
      <c r="E16" s="85"/>
      <c r="F16" s="86"/>
      <c r="G16" s="1"/>
      <c r="H16" s="1"/>
      <c r="I16" s="1"/>
      <c r="J16" s="1"/>
      <c r="K16" s="1"/>
      <c r="L16" s="1"/>
      <c r="M16" s="1"/>
      <c r="N16" s="1"/>
    </row>
    <row r="17" spans="1:14" ht="15.6" x14ac:dyDescent="0.25">
      <c r="A17" s="1"/>
      <c r="B17" s="83">
        <v>20</v>
      </c>
      <c r="C17" s="23" t="s">
        <v>1239</v>
      </c>
      <c r="D17" s="27">
        <v>9.9</v>
      </c>
      <c r="E17" s="23"/>
      <c r="F17" s="27"/>
      <c r="G17" s="1"/>
      <c r="H17" s="1"/>
      <c r="I17" s="1"/>
      <c r="J17" s="1"/>
      <c r="K17" s="1"/>
      <c r="L17" s="1"/>
      <c r="M17" s="1"/>
      <c r="N17" s="1"/>
    </row>
    <row r="18" spans="1:14" ht="15.6" x14ac:dyDescent="0.25">
      <c r="A18" s="1"/>
      <c r="B18" s="84">
        <v>25</v>
      </c>
      <c r="C18" s="23" t="s">
        <v>1242</v>
      </c>
      <c r="D18" s="27">
        <v>16</v>
      </c>
      <c r="E18" s="23"/>
      <c r="F18" s="27"/>
      <c r="G18" s="1"/>
      <c r="H18" s="1"/>
      <c r="I18" s="1"/>
      <c r="J18" s="1"/>
      <c r="K18" s="1"/>
      <c r="L18" s="1"/>
      <c r="M18" s="1"/>
      <c r="N18" s="1"/>
    </row>
    <row r="19" spans="1:14" ht="15.6" x14ac:dyDescent="0.25">
      <c r="A19" s="1"/>
      <c r="B19" s="84">
        <v>32</v>
      </c>
      <c r="C19" s="23" t="s">
        <v>1246</v>
      </c>
      <c r="D19" s="27">
        <v>25.3</v>
      </c>
      <c r="E19" s="23"/>
      <c r="F19" s="27"/>
      <c r="G19" s="1"/>
      <c r="H19" s="1"/>
      <c r="I19" s="1"/>
      <c r="J19" s="1"/>
      <c r="K19" s="1"/>
      <c r="L19" s="1"/>
      <c r="M19" s="1"/>
      <c r="N19" s="1"/>
    </row>
    <row r="20" spans="1:14" ht="15.6" x14ac:dyDescent="0.25">
      <c r="A20" s="1"/>
      <c r="B20" s="84">
        <v>40</v>
      </c>
      <c r="C20" s="23" t="s">
        <v>1250</v>
      </c>
      <c r="D20" s="27">
        <v>36.5</v>
      </c>
      <c r="E20" s="23"/>
      <c r="F20" s="27"/>
      <c r="G20" s="1"/>
      <c r="H20" s="1"/>
      <c r="I20" s="1"/>
      <c r="J20" s="1"/>
      <c r="K20" s="1"/>
      <c r="L20" s="1"/>
      <c r="M20" s="1"/>
      <c r="N20" s="1"/>
    </row>
    <row r="21" spans="1:14" ht="18.75" customHeight="1" x14ac:dyDescent="0.25">
      <c r="A21" s="1"/>
      <c r="B21" s="84">
        <v>50</v>
      </c>
      <c r="C21" s="23" t="s">
        <v>1254</v>
      </c>
      <c r="D21" s="27">
        <v>53</v>
      </c>
      <c r="E21" s="23"/>
      <c r="F21" s="27"/>
      <c r="G21" s="1"/>
      <c r="H21" s="1"/>
      <c r="I21" s="1"/>
      <c r="J21" s="1"/>
      <c r="K21" s="1"/>
      <c r="L21" s="1"/>
      <c r="M21" s="1"/>
      <c r="N21" s="1"/>
    </row>
    <row r="22" spans="1:14" ht="15.6" x14ac:dyDescent="0.25">
      <c r="A22" s="1"/>
      <c r="B22" s="82" t="s">
        <v>1257</v>
      </c>
      <c r="C22" s="85"/>
      <c r="D22" s="86"/>
      <c r="E22" s="85"/>
      <c r="F22" s="86"/>
      <c r="G22" s="1"/>
      <c r="H22" s="1"/>
      <c r="I22" s="1"/>
      <c r="J22" s="1"/>
      <c r="K22" s="1"/>
      <c r="L22" s="1"/>
      <c r="M22" s="1"/>
      <c r="N22" s="1"/>
    </row>
    <row r="23" spans="1:14" ht="15.6" x14ac:dyDescent="0.25">
      <c r="A23" s="1"/>
      <c r="B23" s="83">
        <v>20</v>
      </c>
      <c r="C23" s="23" t="s">
        <v>1261</v>
      </c>
      <c r="D23" s="27">
        <v>9.5</v>
      </c>
      <c r="E23" s="23"/>
      <c r="F23" s="27"/>
      <c r="G23" s="1"/>
      <c r="H23" s="1"/>
      <c r="I23" s="1"/>
      <c r="J23" s="1"/>
      <c r="K23" s="1"/>
      <c r="L23" s="1"/>
      <c r="M23" s="1"/>
      <c r="N23" s="1"/>
    </row>
    <row r="24" spans="1:14" ht="15.6" x14ac:dyDescent="0.25">
      <c r="A24" s="1"/>
      <c r="B24" s="84">
        <v>25</v>
      </c>
      <c r="C24" s="23" t="s">
        <v>1264</v>
      </c>
      <c r="D24" s="27">
        <v>15</v>
      </c>
      <c r="E24" s="23"/>
      <c r="F24" s="27"/>
      <c r="G24" s="1"/>
      <c r="H24" s="1"/>
      <c r="I24" s="1"/>
      <c r="J24" s="1"/>
      <c r="K24" s="1"/>
      <c r="L24" s="1"/>
      <c r="M24" s="1"/>
      <c r="N24" s="1"/>
    </row>
    <row r="25" spans="1:14" ht="15.6" x14ac:dyDescent="0.25">
      <c r="A25" s="1"/>
      <c r="B25" s="84">
        <v>32</v>
      </c>
      <c r="C25" s="23" t="s">
        <v>1269</v>
      </c>
      <c r="D25" s="27">
        <v>20.9</v>
      </c>
      <c r="E25" s="23"/>
      <c r="F25" s="27"/>
      <c r="G25" s="1"/>
      <c r="H25" s="1"/>
      <c r="I25" s="1"/>
      <c r="J25" s="1"/>
      <c r="K25" s="1"/>
      <c r="L25" s="1"/>
      <c r="M25" s="1"/>
      <c r="N25" s="1"/>
    </row>
    <row r="26" spans="1:14" ht="15.6" x14ac:dyDescent="0.25">
      <c r="A26" s="1"/>
      <c r="B26" s="84">
        <v>40</v>
      </c>
      <c r="C26" s="23" t="s">
        <v>1272</v>
      </c>
      <c r="D26" s="27">
        <v>30</v>
      </c>
      <c r="E26" s="23"/>
      <c r="F26" s="27"/>
      <c r="G26" s="1"/>
      <c r="H26" s="1"/>
      <c r="I26" s="1"/>
      <c r="J26" s="1"/>
      <c r="K26" s="1"/>
      <c r="L26" s="1"/>
      <c r="M26" s="1"/>
      <c r="N26" s="1"/>
    </row>
    <row r="27" spans="1:14" ht="15.6" x14ac:dyDescent="0.25">
      <c r="A27" s="1"/>
      <c r="B27" s="93">
        <v>50</v>
      </c>
      <c r="C27" s="23" t="s">
        <v>1278</v>
      </c>
      <c r="D27" s="27">
        <v>44.5</v>
      </c>
      <c r="E27" s="23"/>
      <c r="F27" s="27"/>
      <c r="G27" s="1"/>
      <c r="H27" s="1"/>
      <c r="I27" s="1"/>
      <c r="J27" s="1"/>
      <c r="K27" s="1"/>
      <c r="L27" s="1"/>
      <c r="M27" s="1"/>
      <c r="N27" s="1"/>
    </row>
    <row r="28" spans="1:14" ht="15.6" x14ac:dyDescent="0.25">
      <c r="A28" s="1"/>
      <c r="B28" s="94"/>
      <c r="C28" s="82"/>
      <c r="D28" s="86"/>
      <c r="E28" s="82"/>
      <c r="F28" s="86"/>
      <c r="G28" s="1"/>
      <c r="H28" s="1"/>
      <c r="I28" s="1"/>
      <c r="J28" s="1"/>
      <c r="K28" s="1"/>
      <c r="L28" s="1"/>
      <c r="M28" s="1"/>
      <c r="N28" s="1"/>
    </row>
    <row r="29" spans="1:14" ht="19.2" x14ac:dyDescent="0.25">
      <c r="A29" s="1"/>
      <c r="B29" s="81" t="s">
        <v>1285</v>
      </c>
      <c r="C29" s="82"/>
      <c r="D29" s="86"/>
      <c r="E29" s="82"/>
      <c r="F29" s="86"/>
      <c r="G29" s="1"/>
      <c r="H29" s="1"/>
      <c r="I29" s="1"/>
      <c r="J29" s="1"/>
      <c r="K29" s="1"/>
      <c r="L29" s="1"/>
      <c r="M29" s="1"/>
      <c r="N29" s="1"/>
    </row>
    <row r="30" spans="1:14" ht="15.6" x14ac:dyDescent="0.25">
      <c r="A30" s="1"/>
      <c r="B30" s="37" t="s">
        <v>1180</v>
      </c>
      <c r="C30" s="37"/>
      <c r="D30" s="86"/>
      <c r="E30" s="37"/>
      <c r="F30" s="86"/>
      <c r="G30" s="1"/>
      <c r="H30" s="1"/>
      <c r="I30" s="1"/>
      <c r="J30" s="1"/>
      <c r="K30" s="1"/>
      <c r="L30" s="1"/>
      <c r="M30" s="1"/>
      <c r="N30" s="1"/>
    </row>
    <row r="31" spans="1:14" ht="15.6" x14ac:dyDescent="0.25">
      <c r="A31" s="1"/>
      <c r="B31" s="84">
        <v>40</v>
      </c>
      <c r="C31" s="23" t="s">
        <v>1291</v>
      </c>
      <c r="D31" s="27">
        <v>16.2</v>
      </c>
      <c r="E31" s="23" t="s">
        <v>1294</v>
      </c>
      <c r="F31" s="27">
        <v>16.5</v>
      </c>
      <c r="G31" s="1"/>
      <c r="H31" s="1"/>
      <c r="I31" s="1"/>
      <c r="J31" s="1"/>
      <c r="K31" s="1"/>
      <c r="L31" s="1"/>
      <c r="M31" s="1"/>
      <c r="N31" s="1"/>
    </row>
    <row r="32" spans="1:14" ht="15.6" x14ac:dyDescent="0.25">
      <c r="A32" s="1"/>
      <c r="B32" s="84">
        <v>50</v>
      </c>
      <c r="C32" s="23" t="s">
        <v>1296</v>
      </c>
      <c r="D32" s="27">
        <v>26.8</v>
      </c>
      <c r="E32" s="23" t="s">
        <v>1299</v>
      </c>
      <c r="F32" s="27">
        <v>25.5</v>
      </c>
      <c r="G32" s="1"/>
      <c r="H32" s="1"/>
      <c r="I32" s="1"/>
      <c r="J32" s="1"/>
      <c r="K32" s="1"/>
      <c r="L32" s="1"/>
      <c r="M32" s="1"/>
      <c r="N32" s="1"/>
    </row>
    <row r="33" spans="1:14" ht="15.6" x14ac:dyDescent="0.25">
      <c r="A33" s="1"/>
      <c r="B33" s="84">
        <v>63</v>
      </c>
      <c r="C33" s="23" t="s">
        <v>1301</v>
      </c>
      <c r="D33" s="27">
        <v>42.8</v>
      </c>
      <c r="E33" s="23" t="s">
        <v>1304</v>
      </c>
      <c r="F33" s="27">
        <v>36</v>
      </c>
      <c r="G33" s="1"/>
      <c r="H33" s="1"/>
      <c r="I33" s="1"/>
      <c r="J33" s="1"/>
      <c r="K33" s="1"/>
      <c r="L33" s="1"/>
      <c r="M33" s="1"/>
      <c r="N33" s="1"/>
    </row>
    <row r="34" spans="1:14" ht="15.6" x14ac:dyDescent="0.25">
      <c r="A34" s="1"/>
      <c r="B34" s="84">
        <v>75</v>
      </c>
      <c r="C34" s="23" t="s">
        <v>1306</v>
      </c>
      <c r="D34" s="27">
        <v>62.8</v>
      </c>
      <c r="E34" s="23" t="s">
        <v>1309</v>
      </c>
      <c r="F34" s="27">
        <v>54</v>
      </c>
      <c r="G34" s="1"/>
      <c r="H34" s="1"/>
      <c r="I34" s="1"/>
      <c r="J34" s="1"/>
      <c r="K34" s="1"/>
      <c r="L34" s="1"/>
      <c r="M34" s="1"/>
      <c r="N34" s="1"/>
    </row>
    <row r="35" spans="1:14" ht="15.6" x14ac:dyDescent="0.25">
      <c r="A35" s="1"/>
      <c r="B35" s="84">
        <v>90</v>
      </c>
      <c r="C35" s="23" t="s">
        <v>1310</v>
      </c>
      <c r="D35" s="27">
        <v>92.4</v>
      </c>
      <c r="E35" s="23" t="s">
        <v>1312</v>
      </c>
      <c r="F35" s="27">
        <v>78</v>
      </c>
      <c r="G35" s="1"/>
      <c r="H35" s="1"/>
      <c r="I35" s="1"/>
      <c r="J35" s="1"/>
      <c r="K35" s="1"/>
      <c r="L35" s="1"/>
      <c r="M35" s="1"/>
      <c r="N35" s="1"/>
    </row>
    <row r="36" spans="1:14" ht="15.6" x14ac:dyDescent="0.25">
      <c r="A36" s="1"/>
      <c r="B36" s="84">
        <v>110</v>
      </c>
      <c r="C36" s="23" t="s">
        <v>1316</v>
      </c>
      <c r="D36" s="27">
        <v>143.4</v>
      </c>
      <c r="E36" s="23" t="s">
        <v>1318</v>
      </c>
      <c r="F36" s="27">
        <v>129</v>
      </c>
      <c r="G36" s="1"/>
      <c r="H36" s="1"/>
      <c r="I36" s="1"/>
      <c r="J36" s="1"/>
      <c r="K36" s="1"/>
      <c r="L36" s="1"/>
      <c r="M36" s="1"/>
      <c r="N36" s="1"/>
    </row>
    <row r="37" spans="1:14" ht="15.6" x14ac:dyDescent="0.25">
      <c r="A37" s="1"/>
      <c r="B37" s="84">
        <v>125</v>
      </c>
      <c r="C37" s="23" t="s">
        <v>1320</v>
      </c>
      <c r="D37" s="27">
        <v>192.4</v>
      </c>
      <c r="E37" s="23"/>
      <c r="F37" s="27"/>
      <c r="G37" s="1"/>
      <c r="H37" s="1"/>
      <c r="I37" s="1"/>
      <c r="J37" s="1"/>
      <c r="K37" s="1"/>
      <c r="L37" s="1"/>
      <c r="M37" s="1"/>
      <c r="N37" s="1"/>
    </row>
    <row r="38" spans="1:14" ht="15.6" x14ac:dyDescent="0.25">
      <c r="A38" s="1"/>
      <c r="B38" s="84">
        <v>140</v>
      </c>
      <c r="C38" s="23" t="s">
        <v>1324</v>
      </c>
      <c r="D38" s="27">
        <v>264</v>
      </c>
      <c r="E38" s="23"/>
      <c r="F38" s="27"/>
      <c r="G38" s="1"/>
      <c r="H38" s="1"/>
      <c r="I38" s="1"/>
      <c r="J38" s="1"/>
      <c r="K38" s="1"/>
      <c r="L38" s="1"/>
      <c r="M38" s="1"/>
      <c r="N38" s="1"/>
    </row>
    <row r="39" spans="1:14" ht="15.6" x14ac:dyDescent="0.25">
      <c r="A39" s="1"/>
      <c r="B39" s="84">
        <v>160</v>
      </c>
      <c r="C39" s="95" t="s">
        <v>1328</v>
      </c>
      <c r="D39" s="96">
        <v>368</v>
      </c>
      <c r="E39" s="95" t="s">
        <v>1335</v>
      </c>
      <c r="F39" s="96">
        <v>307</v>
      </c>
      <c r="G39" s="1"/>
      <c r="H39" s="1"/>
      <c r="I39" s="1"/>
      <c r="J39" s="1"/>
      <c r="K39" s="1"/>
      <c r="L39" s="1"/>
      <c r="M39" s="1"/>
      <c r="N39" s="1"/>
    </row>
    <row r="40" spans="1:14" ht="15.6" x14ac:dyDescent="0.25">
      <c r="A40" s="1"/>
      <c r="B40" s="37" t="s">
        <v>1211</v>
      </c>
      <c r="C40" s="97"/>
      <c r="D40" s="98"/>
      <c r="E40" s="97"/>
      <c r="F40" s="98"/>
      <c r="G40" s="1"/>
      <c r="H40" s="1"/>
      <c r="I40" s="1"/>
      <c r="J40" s="1"/>
      <c r="K40" s="1"/>
      <c r="L40" s="1"/>
      <c r="M40" s="1"/>
      <c r="N40" s="1"/>
    </row>
    <row r="41" spans="1:14" ht="15.6" x14ac:dyDescent="0.25">
      <c r="A41" s="1"/>
      <c r="B41" s="84">
        <v>40</v>
      </c>
      <c r="C41" s="23" t="s">
        <v>1346</v>
      </c>
      <c r="D41" s="27">
        <v>37.799999999999997</v>
      </c>
      <c r="E41" s="23"/>
      <c r="F41" s="27"/>
      <c r="G41" s="1"/>
      <c r="H41" s="1"/>
      <c r="I41" s="1"/>
      <c r="J41" s="1"/>
      <c r="K41" s="1"/>
      <c r="L41" s="1"/>
      <c r="M41" s="1"/>
      <c r="N41" s="1"/>
    </row>
    <row r="42" spans="1:14" ht="15.6" x14ac:dyDescent="0.25">
      <c r="A42" s="1"/>
      <c r="B42" s="84">
        <v>50</v>
      </c>
      <c r="C42" s="23" t="s">
        <v>1349</v>
      </c>
      <c r="D42" s="27">
        <v>59.8</v>
      </c>
      <c r="E42" s="23"/>
      <c r="F42" s="27"/>
      <c r="G42" s="1"/>
      <c r="H42" s="1"/>
      <c r="I42" s="1"/>
      <c r="J42" s="1"/>
      <c r="K42" s="1"/>
      <c r="L42" s="1"/>
      <c r="M42" s="1"/>
      <c r="N42" s="1"/>
    </row>
    <row r="43" spans="1:14" ht="15.6" x14ac:dyDescent="0.25">
      <c r="A43" s="1"/>
      <c r="B43" s="84">
        <v>63</v>
      </c>
      <c r="C43" s="23" t="s">
        <v>1352</v>
      </c>
      <c r="D43" s="27">
        <v>96.8</v>
      </c>
      <c r="E43" s="23"/>
      <c r="F43" s="27"/>
      <c r="G43" s="1"/>
      <c r="H43" s="1"/>
      <c r="I43" s="1"/>
      <c r="J43" s="1"/>
      <c r="K43" s="1"/>
      <c r="L43" s="1"/>
      <c r="M43" s="1"/>
      <c r="N43" s="1"/>
    </row>
    <row r="44" spans="1:14" ht="15.6" x14ac:dyDescent="0.25">
      <c r="A44" s="1"/>
      <c r="B44" s="84">
        <v>75</v>
      </c>
      <c r="C44" s="23" t="s">
        <v>1355</v>
      </c>
      <c r="D44" s="27">
        <v>146.80000000000001</v>
      </c>
      <c r="E44" s="23"/>
      <c r="F44" s="27"/>
      <c r="G44" s="1"/>
      <c r="H44" s="1"/>
      <c r="I44" s="1"/>
      <c r="J44" s="1"/>
      <c r="K44" s="1"/>
      <c r="L44" s="1"/>
      <c r="M44" s="1"/>
      <c r="N44" s="1"/>
    </row>
    <row r="45" spans="1:14" ht="15.6" x14ac:dyDescent="0.25">
      <c r="A45" s="1"/>
      <c r="B45" s="84">
        <v>90</v>
      </c>
      <c r="C45" s="23" t="s">
        <v>1359</v>
      </c>
      <c r="D45" s="27">
        <v>224</v>
      </c>
      <c r="E45" s="23"/>
      <c r="F45" s="27"/>
      <c r="G45" s="1"/>
      <c r="H45" s="1"/>
      <c r="I45" s="1"/>
      <c r="J45" s="1"/>
      <c r="K45" s="1"/>
      <c r="L45" s="1"/>
      <c r="M45" s="1"/>
      <c r="N45" s="1"/>
    </row>
    <row r="46" spans="1:14" ht="15.6" x14ac:dyDescent="0.25">
      <c r="A46" s="1"/>
      <c r="B46" s="84">
        <v>110</v>
      </c>
      <c r="C46" s="23" t="s">
        <v>1362</v>
      </c>
      <c r="D46" s="27">
        <v>348</v>
      </c>
      <c r="E46" s="23"/>
      <c r="F46" s="27"/>
      <c r="G46" s="1"/>
      <c r="H46" s="1"/>
      <c r="I46" s="1"/>
      <c r="J46" s="1"/>
      <c r="K46" s="1"/>
      <c r="L46" s="1"/>
      <c r="M46" s="1"/>
      <c r="N46" s="1"/>
    </row>
    <row r="47" spans="1:14" ht="15.6" x14ac:dyDescent="0.25">
      <c r="A47" s="1"/>
      <c r="B47" s="84">
        <v>125</v>
      </c>
      <c r="C47" s="23" t="s">
        <v>1366</v>
      </c>
      <c r="D47" s="27">
        <v>472</v>
      </c>
      <c r="E47" s="23"/>
      <c r="F47" s="27"/>
      <c r="G47" s="1"/>
      <c r="H47" s="1"/>
      <c r="I47" s="1"/>
      <c r="J47" s="1"/>
      <c r="K47" s="1"/>
      <c r="L47" s="1"/>
      <c r="M47" s="1"/>
      <c r="N47" s="1"/>
    </row>
    <row r="48" spans="1:14" ht="15.6" x14ac:dyDescent="0.25">
      <c r="A48" s="1"/>
      <c r="B48" s="84">
        <v>140</v>
      </c>
      <c r="C48" s="23" t="s">
        <v>1370</v>
      </c>
      <c r="D48" s="27">
        <v>644</v>
      </c>
      <c r="E48" s="23"/>
      <c r="F48" s="27"/>
      <c r="G48" s="1"/>
      <c r="H48" s="1"/>
      <c r="I48" s="1"/>
      <c r="J48" s="1"/>
      <c r="K48" s="1"/>
      <c r="L48" s="1"/>
      <c r="M48" s="1"/>
      <c r="N48" s="1"/>
    </row>
    <row r="49" spans="1:14" ht="15.6" x14ac:dyDescent="0.25">
      <c r="A49" s="1"/>
      <c r="B49" s="84">
        <v>160</v>
      </c>
      <c r="C49" s="23" t="s">
        <v>1373</v>
      </c>
      <c r="D49" s="27">
        <v>888</v>
      </c>
      <c r="E49" s="23"/>
      <c r="F49" s="27"/>
      <c r="G49" s="1"/>
      <c r="H49" s="1"/>
      <c r="I49" s="1"/>
      <c r="J49" s="1"/>
      <c r="K49" s="1"/>
      <c r="L49" s="1"/>
      <c r="M49" s="1"/>
      <c r="N49" s="1"/>
    </row>
    <row r="50" spans="1:14" ht="15.6" x14ac:dyDescent="0.25">
      <c r="A50" s="1"/>
      <c r="B50" s="37" t="s">
        <v>1237</v>
      </c>
      <c r="C50" s="85"/>
      <c r="D50" s="86"/>
      <c r="E50" s="85"/>
      <c r="F50" s="86"/>
      <c r="G50" s="1"/>
      <c r="H50" s="1"/>
      <c r="I50" s="1"/>
      <c r="J50" s="1"/>
      <c r="K50" s="1"/>
      <c r="L50" s="1"/>
      <c r="M50" s="1"/>
      <c r="N50" s="1"/>
    </row>
    <row r="51" spans="1:14" ht="15.6" x14ac:dyDescent="0.25">
      <c r="A51" s="1"/>
      <c r="B51" s="84">
        <v>40</v>
      </c>
      <c r="C51" s="23" t="s">
        <v>1379</v>
      </c>
      <c r="D51" s="27">
        <v>29.4</v>
      </c>
      <c r="E51" s="23"/>
      <c r="F51" s="27"/>
      <c r="G51" s="1"/>
      <c r="H51" s="1"/>
      <c r="I51" s="1"/>
      <c r="J51" s="1"/>
      <c r="K51" s="1"/>
      <c r="L51" s="1"/>
      <c r="M51" s="1"/>
      <c r="N51" s="1"/>
    </row>
    <row r="52" spans="1:14" ht="15.6" x14ac:dyDescent="0.25">
      <c r="A52" s="1"/>
      <c r="B52" s="84">
        <v>50</v>
      </c>
      <c r="C52" s="23" t="s">
        <v>1382</v>
      </c>
      <c r="D52" s="27">
        <v>47.4</v>
      </c>
      <c r="E52" s="23"/>
      <c r="F52" s="27"/>
      <c r="G52" s="1"/>
      <c r="H52" s="1"/>
      <c r="I52" s="1"/>
      <c r="J52" s="1"/>
      <c r="K52" s="1"/>
      <c r="L52" s="1"/>
      <c r="M52" s="1"/>
      <c r="N52" s="1"/>
    </row>
    <row r="53" spans="1:14" ht="15.6" x14ac:dyDescent="0.25">
      <c r="A53" s="1"/>
      <c r="B53" s="84">
        <v>63</v>
      </c>
      <c r="C53" s="23" t="s">
        <v>1386</v>
      </c>
      <c r="D53" s="27">
        <v>73.400000000000006</v>
      </c>
      <c r="E53" s="23"/>
      <c r="F53" s="27"/>
      <c r="G53" s="1"/>
      <c r="H53" s="1"/>
      <c r="I53" s="1"/>
      <c r="J53" s="1"/>
      <c r="K53" s="1"/>
      <c r="L53" s="1"/>
      <c r="M53" s="1"/>
      <c r="N53" s="1"/>
    </row>
    <row r="54" spans="1:14" ht="15.6" x14ac:dyDescent="0.25">
      <c r="A54" s="1"/>
      <c r="B54" s="84">
        <v>75</v>
      </c>
      <c r="C54" s="23" t="s">
        <v>1390</v>
      </c>
      <c r="D54" s="27">
        <v>112</v>
      </c>
      <c r="E54" s="23"/>
      <c r="F54" s="27"/>
      <c r="G54" s="1"/>
      <c r="H54" s="1"/>
      <c r="I54" s="1"/>
      <c r="J54" s="1"/>
      <c r="K54" s="1"/>
      <c r="L54" s="1"/>
      <c r="M54" s="1"/>
      <c r="N54" s="1"/>
    </row>
    <row r="55" spans="1:14" ht="15.6" x14ac:dyDescent="0.25">
      <c r="A55" s="1"/>
      <c r="B55" s="84">
        <v>90</v>
      </c>
      <c r="C55" s="23" t="s">
        <v>1393</v>
      </c>
      <c r="D55" s="27">
        <v>168</v>
      </c>
      <c r="E55" s="23"/>
      <c r="F55" s="27"/>
      <c r="G55" s="1"/>
      <c r="H55" s="1"/>
      <c r="I55" s="1"/>
      <c r="J55" s="1"/>
      <c r="K55" s="1"/>
      <c r="L55" s="1"/>
      <c r="M55" s="1"/>
      <c r="N55" s="1"/>
    </row>
    <row r="56" spans="1:14" ht="15.6" x14ac:dyDescent="0.25">
      <c r="A56" s="1"/>
      <c r="B56" s="84">
        <v>110</v>
      </c>
      <c r="C56" s="23" t="s">
        <v>1397</v>
      </c>
      <c r="D56" s="27">
        <v>256</v>
      </c>
      <c r="E56" s="23"/>
      <c r="F56" s="27"/>
      <c r="G56" s="1"/>
      <c r="H56" s="1"/>
      <c r="I56" s="1"/>
      <c r="J56" s="1"/>
      <c r="K56" s="1"/>
      <c r="L56" s="1"/>
      <c r="M56" s="1"/>
      <c r="N56" s="1"/>
    </row>
    <row r="57" spans="1:14" ht="15.6" x14ac:dyDescent="0.25">
      <c r="A57" s="1"/>
      <c r="B57" s="84">
        <v>125</v>
      </c>
      <c r="C57" s="23" t="s">
        <v>1399</v>
      </c>
      <c r="D57" s="27">
        <v>384</v>
      </c>
      <c r="E57" s="23"/>
      <c r="F57" s="27"/>
      <c r="G57" s="1"/>
      <c r="H57" s="1"/>
      <c r="I57" s="1"/>
      <c r="J57" s="1"/>
      <c r="K57" s="1"/>
      <c r="L57" s="1"/>
      <c r="M57" s="1"/>
      <c r="N57" s="1"/>
    </row>
    <row r="58" spans="1:14" ht="15.6" x14ac:dyDescent="0.25">
      <c r="A58" s="1"/>
      <c r="B58" s="84">
        <v>140</v>
      </c>
      <c r="C58" s="23" t="s">
        <v>1403</v>
      </c>
      <c r="D58" s="27">
        <v>506</v>
      </c>
      <c r="E58" s="23"/>
      <c r="F58" s="27"/>
      <c r="G58" s="1"/>
      <c r="H58" s="1"/>
      <c r="I58" s="1"/>
      <c r="J58" s="1"/>
      <c r="K58" s="1"/>
      <c r="L58" s="1"/>
      <c r="M58" s="1"/>
      <c r="N58" s="1"/>
    </row>
    <row r="59" spans="1:14" ht="15.6" x14ac:dyDescent="0.25">
      <c r="A59" s="1"/>
      <c r="B59" s="84">
        <v>160</v>
      </c>
      <c r="C59" s="23" t="s">
        <v>1405</v>
      </c>
      <c r="D59" s="27">
        <v>754</v>
      </c>
      <c r="E59" s="23"/>
      <c r="F59" s="27"/>
      <c r="G59" s="1"/>
      <c r="H59" s="1"/>
      <c r="I59" s="1"/>
      <c r="J59" s="1"/>
      <c r="K59" s="1"/>
      <c r="L59" s="1"/>
      <c r="M59" s="1"/>
      <c r="N59" s="1"/>
    </row>
    <row r="60" spans="1:14" ht="15.6" x14ac:dyDescent="0.25">
      <c r="A60" s="1"/>
      <c r="B60" s="37" t="s">
        <v>1257</v>
      </c>
      <c r="C60" s="85"/>
      <c r="D60" s="86"/>
      <c r="E60" s="85"/>
      <c r="F60" s="86"/>
      <c r="G60" s="1"/>
      <c r="H60" s="1"/>
      <c r="I60" s="1"/>
      <c r="J60" s="1"/>
      <c r="K60" s="1"/>
      <c r="L60" s="1"/>
      <c r="M60" s="1"/>
      <c r="N60" s="1"/>
    </row>
    <row r="61" spans="1:14" ht="15.6" x14ac:dyDescent="0.25">
      <c r="A61" s="1"/>
      <c r="B61" s="83">
        <v>50</v>
      </c>
      <c r="C61" s="23" t="s">
        <v>1409</v>
      </c>
      <c r="D61" s="27">
        <v>38.995000000000005</v>
      </c>
      <c r="E61" s="23"/>
      <c r="F61" s="27"/>
      <c r="G61" s="1"/>
      <c r="H61" s="1"/>
      <c r="I61" s="1"/>
      <c r="J61" s="1"/>
      <c r="K61" s="1"/>
      <c r="L61" s="1"/>
      <c r="M61" s="1"/>
      <c r="N61" s="1"/>
    </row>
    <row r="62" spans="1:14" ht="15.6" x14ac:dyDescent="0.25">
      <c r="A62" s="1"/>
      <c r="B62" s="83">
        <v>63</v>
      </c>
      <c r="C62" s="23" t="s">
        <v>1412</v>
      </c>
      <c r="D62" s="27">
        <v>65.599999999999994</v>
      </c>
      <c r="E62" s="23"/>
      <c r="F62" s="27"/>
      <c r="G62" s="1"/>
      <c r="H62" s="1"/>
      <c r="I62" s="1"/>
      <c r="J62" s="1"/>
      <c r="K62" s="1"/>
      <c r="L62" s="1"/>
      <c r="M62" s="1"/>
      <c r="N62" s="1"/>
    </row>
    <row r="63" spans="1:14" ht="15.6" x14ac:dyDescent="0.25">
      <c r="A63" s="1"/>
      <c r="B63" s="83">
        <v>75</v>
      </c>
      <c r="C63" s="23" t="s">
        <v>1414</v>
      </c>
      <c r="D63" s="27">
        <v>94.4</v>
      </c>
      <c r="E63" s="23"/>
      <c r="F63" s="27"/>
      <c r="G63" s="1"/>
      <c r="H63" s="1"/>
      <c r="I63" s="1"/>
      <c r="J63" s="1"/>
      <c r="K63" s="1"/>
      <c r="L63" s="1"/>
      <c r="M63" s="1"/>
      <c r="N63" s="1"/>
    </row>
    <row r="64" spans="1:14" ht="15.6" x14ac:dyDescent="0.25">
      <c r="A64" s="1"/>
      <c r="B64" s="37" t="s">
        <v>1417</v>
      </c>
      <c r="C64" s="85"/>
      <c r="D64" s="86"/>
      <c r="E64" s="85"/>
      <c r="F64" s="86"/>
      <c r="G64" s="1"/>
      <c r="H64" s="1"/>
      <c r="I64" s="1"/>
      <c r="J64" s="1"/>
      <c r="K64" s="1"/>
      <c r="L64" s="1"/>
      <c r="M64" s="1"/>
      <c r="N64" s="1"/>
    </row>
    <row r="65" spans="1:14" ht="15.6" x14ac:dyDescent="0.25">
      <c r="A65" s="1"/>
      <c r="B65" s="84">
        <v>40</v>
      </c>
      <c r="C65" s="23" t="s">
        <v>1419</v>
      </c>
      <c r="D65" s="27">
        <v>12.2</v>
      </c>
      <c r="E65" s="23"/>
      <c r="F65" s="27"/>
      <c r="G65" s="1"/>
      <c r="H65" s="1"/>
      <c r="I65" s="1"/>
      <c r="J65" s="1"/>
      <c r="K65" s="1"/>
      <c r="L65" s="1"/>
      <c r="M65" s="1"/>
      <c r="N65" s="1"/>
    </row>
    <row r="66" spans="1:14" ht="15.6" x14ac:dyDescent="0.25">
      <c r="A66" s="1"/>
      <c r="B66" s="84">
        <v>50</v>
      </c>
      <c r="C66" s="23" t="s">
        <v>1425</v>
      </c>
      <c r="D66" s="27">
        <v>19.2</v>
      </c>
      <c r="E66" s="23"/>
      <c r="F66" s="27"/>
      <c r="G66" s="1"/>
      <c r="H66" s="1"/>
      <c r="I66" s="1"/>
      <c r="J66" s="1"/>
      <c r="K66" s="1"/>
      <c r="L66" s="1"/>
      <c r="M66" s="1"/>
      <c r="N66" s="1"/>
    </row>
    <row r="67" spans="1:14" ht="15.6" x14ac:dyDescent="0.25">
      <c r="A67" s="1"/>
      <c r="B67" s="84">
        <v>63</v>
      </c>
      <c r="C67" s="23" t="s">
        <v>1426</v>
      </c>
      <c r="D67" s="27">
        <v>30.8</v>
      </c>
      <c r="E67" s="23"/>
      <c r="F67" s="27"/>
      <c r="G67" s="1"/>
      <c r="H67" s="1"/>
      <c r="I67" s="1"/>
      <c r="J67" s="1"/>
      <c r="K67" s="1"/>
      <c r="L67" s="1"/>
      <c r="M67" s="1"/>
      <c r="N67" s="1"/>
    </row>
    <row r="68" spans="1:14" ht="15.6" x14ac:dyDescent="0.25">
      <c r="A68" s="1"/>
      <c r="B68" s="84">
        <v>75</v>
      </c>
      <c r="C68" s="23" t="s">
        <v>1429</v>
      </c>
      <c r="D68" s="27">
        <v>43.4</v>
      </c>
      <c r="E68" s="23"/>
      <c r="F68" s="27"/>
      <c r="G68" s="1"/>
      <c r="H68" s="1"/>
      <c r="I68" s="1"/>
      <c r="J68" s="1"/>
      <c r="K68" s="1"/>
      <c r="L68" s="1"/>
      <c r="M68" s="1"/>
      <c r="N68" s="1"/>
    </row>
    <row r="69" spans="1:14" ht="15.6" x14ac:dyDescent="0.25">
      <c r="A69" s="1"/>
      <c r="B69" s="84">
        <v>90</v>
      </c>
      <c r="C69" s="23" t="s">
        <v>1432</v>
      </c>
      <c r="D69" s="27">
        <v>67.599999999999994</v>
      </c>
      <c r="E69" s="23"/>
      <c r="F69" s="27"/>
      <c r="G69" s="1"/>
      <c r="H69" s="1"/>
      <c r="I69" s="1"/>
      <c r="J69" s="1"/>
      <c r="K69" s="1"/>
      <c r="L69" s="1"/>
      <c r="M69" s="1"/>
      <c r="N69" s="1"/>
    </row>
    <row r="70" spans="1:14" ht="15.6" x14ac:dyDescent="0.25">
      <c r="A70" s="1"/>
      <c r="B70" s="84">
        <v>110</v>
      </c>
      <c r="C70" s="23" t="s">
        <v>1436</v>
      </c>
      <c r="D70" s="27">
        <v>104.8</v>
      </c>
      <c r="E70" s="23"/>
      <c r="F70" s="27"/>
      <c r="G70" s="1"/>
      <c r="H70" s="1"/>
      <c r="I70" s="1"/>
      <c r="J70" s="1"/>
      <c r="K70" s="1"/>
      <c r="L70" s="1"/>
      <c r="M70" s="1"/>
      <c r="N70" s="1"/>
    </row>
    <row r="71" spans="1:14" ht="15.6" x14ac:dyDescent="0.25">
      <c r="A71" s="1"/>
      <c r="B71" s="84">
        <v>125</v>
      </c>
      <c r="C71" s="23" t="s">
        <v>1439</v>
      </c>
      <c r="D71" s="27">
        <v>136.79999999999998</v>
      </c>
      <c r="E71" s="23"/>
      <c r="F71" s="27"/>
      <c r="G71" s="1"/>
      <c r="H71" s="1"/>
      <c r="I71" s="1"/>
      <c r="J71" s="1"/>
      <c r="K71" s="1"/>
      <c r="L71" s="1"/>
      <c r="M71" s="1"/>
      <c r="N71" s="1"/>
    </row>
    <row r="72" spans="1:14" ht="15.6" x14ac:dyDescent="0.25">
      <c r="A72" s="1"/>
      <c r="B72" s="84">
        <v>140</v>
      </c>
      <c r="C72" s="23" t="s">
        <v>1443</v>
      </c>
      <c r="D72" s="27">
        <v>182.39999999999998</v>
      </c>
      <c r="E72" s="23"/>
      <c r="F72" s="27"/>
      <c r="G72" s="1"/>
      <c r="H72" s="1"/>
      <c r="I72" s="1"/>
      <c r="J72" s="1"/>
      <c r="K72" s="1"/>
      <c r="L72" s="1"/>
      <c r="M72" s="1"/>
      <c r="N72" s="1"/>
    </row>
    <row r="73" spans="1:14" ht="15.6" x14ac:dyDescent="0.25">
      <c r="A73" s="1"/>
      <c r="B73" s="84">
        <v>160</v>
      </c>
      <c r="C73" s="23" t="s">
        <v>1446</v>
      </c>
      <c r="D73" s="27">
        <v>260.39499999999998</v>
      </c>
      <c r="E73" s="23"/>
      <c r="F73" s="27"/>
      <c r="G73" s="1"/>
      <c r="H73" s="1"/>
      <c r="I73" s="1"/>
      <c r="J73" s="1"/>
      <c r="K73" s="1"/>
      <c r="L73" s="1"/>
      <c r="M73" s="1"/>
      <c r="N73" s="1"/>
    </row>
    <row r="74" spans="1:14" ht="15.6" x14ac:dyDescent="0.25">
      <c r="A74" s="1"/>
      <c r="B74" s="37" t="s">
        <v>1450</v>
      </c>
      <c r="C74" s="85"/>
      <c r="D74" s="86"/>
      <c r="E74" s="85"/>
      <c r="F74" s="86"/>
      <c r="G74" s="1"/>
      <c r="H74" s="1"/>
      <c r="I74" s="1"/>
      <c r="J74" s="1"/>
      <c r="K74" s="1"/>
      <c r="L74" s="1"/>
      <c r="M74" s="1"/>
      <c r="N74" s="1"/>
    </row>
    <row r="75" spans="1:14" ht="15.6" x14ac:dyDescent="0.25">
      <c r="A75" s="1"/>
      <c r="B75" s="84" t="s">
        <v>1453</v>
      </c>
      <c r="C75" s="23" t="s">
        <v>1454</v>
      </c>
      <c r="D75" s="27">
        <v>113</v>
      </c>
      <c r="E75" s="23"/>
      <c r="F75" s="27"/>
      <c r="G75" s="1"/>
      <c r="H75" s="1"/>
      <c r="I75" s="1"/>
      <c r="J75" s="1"/>
      <c r="K75" s="1"/>
      <c r="L75" s="1"/>
      <c r="M75" s="1"/>
      <c r="N75" s="1"/>
    </row>
    <row r="76" spans="1:14" ht="15.6" x14ac:dyDescent="0.25">
      <c r="A76" s="1"/>
      <c r="B76" s="84" t="s">
        <v>1458</v>
      </c>
      <c r="C76" s="23" t="s">
        <v>1459</v>
      </c>
      <c r="D76" s="27">
        <v>132</v>
      </c>
      <c r="E76" s="23"/>
      <c r="F76" s="27"/>
      <c r="G76" s="1"/>
      <c r="H76" s="1"/>
      <c r="I76" s="1"/>
      <c r="J76" s="1"/>
      <c r="K76" s="1"/>
      <c r="L76" s="1"/>
      <c r="M76" s="1"/>
      <c r="N76" s="1"/>
    </row>
    <row r="77" spans="1:14" ht="15.6" x14ac:dyDescent="0.25">
      <c r="A77" s="1"/>
      <c r="B77" s="84" t="s">
        <v>1463</v>
      </c>
      <c r="C77" s="23" t="s">
        <v>1464</v>
      </c>
      <c r="D77" s="27">
        <v>173.1</v>
      </c>
      <c r="E77" s="23"/>
      <c r="F77" s="27"/>
      <c r="G77" s="1"/>
      <c r="H77" s="1"/>
      <c r="I77" s="1"/>
      <c r="J77" s="1"/>
      <c r="K77" s="1"/>
      <c r="L77" s="1"/>
      <c r="M77" s="1"/>
      <c r="N77" s="1"/>
    </row>
    <row r="78" spans="1:14" ht="15.6" x14ac:dyDescent="0.25">
      <c r="A78" s="1"/>
      <c r="B78" s="84" t="s">
        <v>1467</v>
      </c>
      <c r="C78" s="23" t="s">
        <v>1468</v>
      </c>
      <c r="D78" s="27">
        <v>187.2</v>
      </c>
      <c r="E78" s="23"/>
      <c r="F78" s="27"/>
      <c r="G78" s="1"/>
      <c r="H78" s="1"/>
      <c r="I78" s="1"/>
      <c r="J78" s="1"/>
      <c r="K78" s="1"/>
      <c r="L78" s="1"/>
      <c r="M78" s="1"/>
      <c r="N78" s="1"/>
    </row>
    <row r="79" spans="1:14" ht="15.6" x14ac:dyDescent="0.25">
      <c r="A79" s="1"/>
      <c r="B79" s="84" t="s">
        <v>1469</v>
      </c>
      <c r="C79" s="23" t="s">
        <v>1470</v>
      </c>
      <c r="D79" s="27">
        <v>244</v>
      </c>
      <c r="E79" s="23"/>
      <c r="F79" s="27"/>
      <c r="G79" s="1"/>
      <c r="H79" s="1"/>
      <c r="I79" s="1"/>
      <c r="J79" s="1"/>
      <c r="K79" s="1"/>
      <c r="L79" s="1"/>
      <c r="M79" s="1"/>
      <c r="N79" s="1"/>
    </row>
    <row r="80" spans="1:14" ht="15.6" x14ac:dyDescent="0.25">
      <c r="A80" s="1"/>
      <c r="B80" s="84" t="s">
        <v>1471</v>
      </c>
      <c r="C80" s="23" t="s">
        <v>1472</v>
      </c>
      <c r="D80" s="27">
        <v>269.10000000000002</v>
      </c>
      <c r="E80" s="23"/>
      <c r="F80" s="27"/>
      <c r="G80" s="1"/>
      <c r="H80" s="1"/>
      <c r="I80" s="1"/>
      <c r="J80" s="1"/>
      <c r="K80" s="1"/>
      <c r="L80" s="1"/>
      <c r="M80" s="1"/>
      <c r="N80" s="1"/>
    </row>
    <row r="81" spans="1:14" ht="15.6" x14ac:dyDescent="0.25">
      <c r="A81" s="1"/>
      <c r="B81" s="84" t="s">
        <v>1473</v>
      </c>
      <c r="C81" s="23" t="s">
        <v>1474</v>
      </c>
      <c r="D81" s="27">
        <v>300.60000000000002</v>
      </c>
      <c r="E81" s="23"/>
      <c r="F81" s="27"/>
      <c r="G81" s="1"/>
      <c r="H81" s="1"/>
      <c r="I81" s="1"/>
      <c r="J81" s="1"/>
      <c r="K81" s="1"/>
      <c r="L81" s="1"/>
      <c r="M81" s="1"/>
      <c r="N81" s="1"/>
    </row>
    <row r="82" spans="1:14" ht="15.6" x14ac:dyDescent="0.25">
      <c r="A82" s="1"/>
      <c r="B82" s="84" t="s">
        <v>1475</v>
      </c>
      <c r="C82" s="23" t="s">
        <v>1476</v>
      </c>
      <c r="D82" s="27">
        <v>439.6</v>
      </c>
      <c r="E82" s="23"/>
      <c r="F82" s="27"/>
      <c r="G82" s="1"/>
      <c r="H82" s="1"/>
      <c r="I82" s="1"/>
      <c r="J82" s="1"/>
      <c r="K82" s="1"/>
      <c r="L82" s="1"/>
      <c r="M82" s="1"/>
      <c r="N82" s="1"/>
    </row>
    <row r="83" spans="1:14" ht="15.6" x14ac:dyDescent="0.25">
      <c r="A83" s="1"/>
      <c r="B83" s="84" t="s">
        <v>1477</v>
      </c>
      <c r="C83" s="23" t="s">
        <v>1478</v>
      </c>
      <c r="D83" s="27">
        <v>473.09999999999997</v>
      </c>
      <c r="E83" s="23"/>
      <c r="F83" s="27"/>
      <c r="G83" s="1"/>
      <c r="H83" s="1"/>
      <c r="I83" s="1"/>
      <c r="J83" s="1"/>
      <c r="K83" s="1"/>
      <c r="L83" s="1"/>
      <c r="M83" s="1"/>
      <c r="N83" s="1"/>
    </row>
    <row r="84" spans="1:14" ht="15.6" x14ac:dyDescent="0.25">
      <c r="A84" s="1"/>
      <c r="B84" s="84" t="s">
        <v>1479</v>
      </c>
      <c r="C84" s="23" t="s">
        <v>1480</v>
      </c>
      <c r="D84" s="27">
        <v>581.4</v>
      </c>
      <c r="E84" s="23"/>
      <c r="F84" s="27"/>
      <c r="G84" s="1"/>
      <c r="H84" s="1"/>
      <c r="I84" s="1"/>
      <c r="J84" s="1"/>
      <c r="K84" s="1"/>
      <c r="L84" s="1"/>
      <c r="M84" s="1"/>
      <c r="N84" s="1"/>
    </row>
    <row r="85" spans="1:14" ht="15.6" x14ac:dyDescent="0.25">
      <c r="A85" s="1"/>
      <c r="B85" s="84" t="s">
        <v>1481</v>
      </c>
      <c r="C85" s="23" t="s">
        <v>1482</v>
      </c>
      <c r="D85" s="27">
        <v>695.4</v>
      </c>
      <c r="E85" s="23"/>
      <c r="F85" s="27"/>
      <c r="G85" s="1"/>
      <c r="H85" s="1"/>
      <c r="I85" s="1"/>
      <c r="J85" s="1"/>
      <c r="K85" s="1"/>
      <c r="L85" s="1"/>
      <c r="M85" s="1"/>
      <c r="N85" s="1"/>
    </row>
    <row r="86" spans="1:14" ht="15.6" x14ac:dyDescent="0.25">
      <c r="A86" s="1"/>
      <c r="B86" s="84" t="s">
        <v>1483</v>
      </c>
      <c r="C86" s="23" t="s">
        <v>1484</v>
      </c>
      <c r="D86" s="27">
        <v>682.1</v>
      </c>
      <c r="E86" s="23"/>
      <c r="F86" s="27"/>
      <c r="G86" s="1"/>
      <c r="H86" s="1"/>
      <c r="I86" s="1"/>
      <c r="J86" s="1"/>
      <c r="K86" s="1"/>
      <c r="L86" s="1"/>
      <c r="M86" s="1"/>
      <c r="N86" s="1"/>
    </row>
    <row r="87" spans="1:14" ht="15.6" x14ac:dyDescent="0.25">
      <c r="A87" s="1"/>
      <c r="B87" s="37" t="s">
        <v>1485</v>
      </c>
      <c r="C87" s="85"/>
      <c r="D87" s="86"/>
      <c r="E87" s="85"/>
      <c r="F87" s="86"/>
      <c r="G87" s="1"/>
      <c r="H87" s="1"/>
      <c r="I87" s="1"/>
      <c r="J87" s="1"/>
      <c r="K87" s="1"/>
      <c r="L87" s="1"/>
      <c r="M87" s="1"/>
      <c r="N87" s="1"/>
    </row>
    <row r="88" spans="1:14" ht="15.6" x14ac:dyDescent="0.25">
      <c r="A88" s="1"/>
      <c r="B88" s="84" t="s">
        <v>1453</v>
      </c>
      <c r="C88" s="23" t="s">
        <v>1486</v>
      </c>
      <c r="D88" s="27">
        <v>48.4</v>
      </c>
      <c r="E88" s="23"/>
      <c r="F88" s="27"/>
      <c r="G88" s="1"/>
      <c r="H88" s="1"/>
      <c r="I88" s="1"/>
      <c r="J88" s="1"/>
      <c r="K88" s="1"/>
      <c r="L88" s="1"/>
      <c r="M88" s="1"/>
      <c r="N88" s="1"/>
    </row>
    <row r="89" spans="1:14" ht="15.6" x14ac:dyDescent="0.25">
      <c r="A89" s="1"/>
      <c r="B89" s="84" t="s">
        <v>1458</v>
      </c>
      <c r="C89" s="23" t="s">
        <v>1487</v>
      </c>
      <c r="D89" s="27">
        <v>53.8</v>
      </c>
      <c r="E89" s="23"/>
      <c r="F89" s="27"/>
      <c r="G89" s="1"/>
      <c r="H89" s="1"/>
      <c r="I89" s="1"/>
      <c r="J89" s="1"/>
      <c r="K89" s="1"/>
      <c r="L89" s="1"/>
      <c r="M89" s="1"/>
      <c r="N89" s="1"/>
    </row>
    <row r="90" spans="1:14" ht="15.6" x14ac:dyDescent="0.25">
      <c r="A90" s="1"/>
      <c r="B90" s="84" t="s">
        <v>1488</v>
      </c>
      <c r="C90" s="23" t="s">
        <v>1489</v>
      </c>
      <c r="D90" s="27">
        <v>69.2</v>
      </c>
      <c r="E90" s="23"/>
      <c r="F90" s="27"/>
      <c r="G90" s="1"/>
      <c r="H90" s="1"/>
      <c r="I90" s="1"/>
      <c r="J90" s="1"/>
      <c r="K90" s="1"/>
      <c r="L90" s="1"/>
      <c r="M90" s="1"/>
      <c r="N90" s="1"/>
    </row>
    <row r="91" spans="1:14" ht="15.6" x14ac:dyDescent="0.25">
      <c r="A91" s="1"/>
      <c r="B91" s="84" t="s">
        <v>1463</v>
      </c>
      <c r="C91" s="23" t="s">
        <v>1490</v>
      </c>
      <c r="D91" s="27">
        <v>72.900000000000006</v>
      </c>
      <c r="E91" s="23"/>
      <c r="F91" s="27"/>
      <c r="G91" s="1"/>
      <c r="H91" s="1"/>
      <c r="I91" s="1"/>
      <c r="J91" s="1"/>
      <c r="K91" s="1"/>
      <c r="L91" s="1"/>
      <c r="M91" s="1"/>
      <c r="N91" s="1"/>
    </row>
    <row r="92" spans="1:14" ht="15.6" x14ac:dyDescent="0.25">
      <c r="A92" s="1"/>
      <c r="B92" s="84" t="s">
        <v>1467</v>
      </c>
      <c r="C92" s="23" t="s">
        <v>1491</v>
      </c>
      <c r="D92" s="27">
        <v>80.400000000000006</v>
      </c>
      <c r="E92" s="23"/>
      <c r="F92" s="27"/>
      <c r="G92" s="1"/>
      <c r="H92" s="1"/>
      <c r="I92" s="1"/>
      <c r="J92" s="1"/>
      <c r="K92" s="1"/>
      <c r="L92" s="1"/>
      <c r="M92" s="1"/>
      <c r="N92" s="1"/>
    </row>
    <row r="93" spans="1:14" ht="15.6" x14ac:dyDescent="0.25">
      <c r="A93" s="1"/>
      <c r="B93" s="84" t="s">
        <v>1469</v>
      </c>
      <c r="C93" s="23" t="s">
        <v>1492</v>
      </c>
      <c r="D93" s="27">
        <v>110.1</v>
      </c>
      <c r="E93" s="23"/>
      <c r="F93" s="27"/>
      <c r="G93" s="1"/>
      <c r="H93" s="1"/>
      <c r="I93" s="1"/>
      <c r="J93" s="1"/>
      <c r="K93" s="1"/>
      <c r="L93" s="1"/>
      <c r="M93" s="1"/>
      <c r="N93" s="1"/>
    </row>
    <row r="94" spans="1:14" ht="15.6" x14ac:dyDescent="0.25">
      <c r="A94" s="1"/>
      <c r="B94" s="84" t="s">
        <v>1471</v>
      </c>
      <c r="C94" s="23" t="s">
        <v>1493</v>
      </c>
      <c r="D94" s="27">
        <v>116.2</v>
      </c>
      <c r="E94" s="23"/>
      <c r="F94" s="27"/>
      <c r="G94" s="1"/>
      <c r="H94" s="1"/>
      <c r="I94" s="1"/>
      <c r="J94" s="1"/>
      <c r="K94" s="1"/>
      <c r="L94" s="1"/>
      <c r="M94" s="1"/>
      <c r="N94" s="1"/>
    </row>
    <row r="95" spans="1:14" ht="15.6" x14ac:dyDescent="0.25">
      <c r="A95" s="1"/>
      <c r="B95" s="84" t="s">
        <v>1473</v>
      </c>
      <c r="C95" s="23" t="s">
        <v>1494</v>
      </c>
      <c r="D95" s="27">
        <v>124.1</v>
      </c>
      <c r="E95" s="23"/>
      <c r="F95" s="27"/>
      <c r="G95" s="1"/>
      <c r="H95" s="1"/>
      <c r="I95" s="1"/>
      <c r="J95" s="1"/>
      <c r="K95" s="1"/>
      <c r="L95" s="1"/>
      <c r="M95" s="1"/>
      <c r="N95" s="1"/>
    </row>
    <row r="96" spans="1:14" ht="15.6" x14ac:dyDescent="0.25">
      <c r="A96" s="1"/>
      <c r="B96" s="84" t="s">
        <v>1477</v>
      </c>
      <c r="C96" s="23" t="s">
        <v>1495</v>
      </c>
      <c r="D96" s="27">
        <v>207.9</v>
      </c>
      <c r="E96" s="23"/>
      <c r="F96" s="27"/>
      <c r="G96" s="1"/>
      <c r="H96" s="1"/>
      <c r="I96" s="1"/>
      <c r="J96" s="1"/>
      <c r="K96" s="1"/>
      <c r="L96" s="1"/>
      <c r="M96" s="1"/>
      <c r="N96" s="1"/>
    </row>
    <row r="97" spans="1:14" ht="15.6" x14ac:dyDescent="0.25">
      <c r="A97" s="1"/>
      <c r="B97" s="84" t="s">
        <v>1483</v>
      </c>
      <c r="C97" s="23" t="s">
        <v>1496</v>
      </c>
      <c r="D97" s="27">
        <v>304.09500000000003</v>
      </c>
      <c r="E97" s="23"/>
      <c r="F97" s="27"/>
      <c r="G97" s="1"/>
      <c r="H97" s="1"/>
      <c r="I97" s="1"/>
      <c r="J97" s="1"/>
      <c r="K97" s="1"/>
      <c r="L97" s="1"/>
      <c r="M97" s="1"/>
      <c r="N97" s="1"/>
    </row>
    <row r="98" spans="1:14" ht="15.6" x14ac:dyDescent="0.25">
      <c r="A98" s="1"/>
      <c r="B98" s="37" t="s">
        <v>1497</v>
      </c>
      <c r="C98" s="85"/>
      <c r="D98" s="86"/>
      <c r="E98" s="85"/>
      <c r="F98" s="86"/>
      <c r="G98" s="1"/>
      <c r="H98" s="1"/>
      <c r="I98" s="1"/>
      <c r="J98" s="1"/>
      <c r="K98" s="1"/>
      <c r="L98" s="1"/>
      <c r="M98" s="1"/>
      <c r="N98" s="1"/>
    </row>
    <row r="99" spans="1:14" ht="15.6" x14ac:dyDescent="0.25">
      <c r="A99" s="1"/>
      <c r="B99" s="83" t="s">
        <v>1498</v>
      </c>
      <c r="C99" s="23" t="s">
        <v>1499</v>
      </c>
      <c r="D99" s="27">
        <v>198</v>
      </c>
      <c r="E99" s="23"/>
      <c r="F99" s="27"/>
      <c r="G99" s="1"/>
      <c r="H99" s="1"/>
      <c r="I99" s="1"/>
      <c r="J99" s="1"/>
      <c r="K99" s="1"/>
      <c r="L99" s="1"/>
      <c r="M99" s="1"/>
      <c r="N99" s="1"/>
    </row>
    <row r="100" spans="1:14" ht="15.6" x14ac:dyDescent="0.25">
      <c r="A100" s="1"/>
      <c r="B100" s="83" t="s">
        <v>1500</v>
      </c>
      <c r="C100" s="23" t="s">
        <v>1501</v>
      </c>
      <c r="D100" s="27">
        <v>358</v>
      </c>
      <c r="E100" s="23"/>
      <c r="F100" s="27"/>
      <c r="G100" s="1"/>
      <c r="H100" s="1"/>
      <c r="I100" s="1"/>
      <c r="J100" s="1"/>
      <c r="K100" s="1"/>
      <c r="L100" s="1"/>
      <c r="M100" s="1"/>
      <c r="N100" s="1"/>
    </row>
    <row r="101" spans="1:14" ht="15.6" x14ac:dyDescent="0.25">
      <c r="A101" s="1"/>
      <c r="B101" s="83" t="s">
        <v>1502</v>
      </c>
      <c r="C101" s="23" t="s">
        <v>1503</v>
      </c>
      <c r="D101" s="27">
        <v>588</v>
      </c>
      <c r="E101" s="23"/>
      <c r="F101" s="27"/>
      <c r="G101" s="1"/>
      <c r="H101" s="1"/>
      <c r="I101" s="1"/>
      <c r="J101" s="1"/>
      <c r="K101" s="1"/>
      <c r="L101" s="1"/>
      <c r="M101" s="1"/>
      <c r="N101" s="1"/>
    </row>
    <row r="102" spans="1:14" ht="13.2" x14ac:dyDescent="0.25">
      <c r="A102" s="1"/>
      <c r="B102" s="34"/>
      <c r="C102" s="12"/>
      <c r="D102" s="86"/>
      <c r="E102" s="12"/>
      <c r="F102" s="86"/>
      <c r="G102" s="1"/>
      <c r="H102" s="1"/>
      <c r="I102" s="1"/>
      <c r="J102" s="1"/>
      <c r="K102" s="1"/>
      <c r="L102" s="1"/>
      <c r="M102" s="1"/>
      <c r="N102" s="1"/>
    </row>
    <row r="103" spans="1:14" ht="19.2" x14ac:dyDescent="0.25">
      <c r="A103" s="1"/>
      <c r="B103" s="81" t="s">
        <v>1504</v>
      </c>
      <c r="C103" s="99"/>
      <c r="D103" s="86"/>
      <c r="E103" s="99"/>
      <c r="F103" s="86"/>
      <c r="G103" s="1"/>
      <c r="H103" s="1"/>
      <c r="I103" s="1"/>
      <c r="J103" s="1"/>
      <c r="K103" s="1"/>
      <c r="L103" s="1"/>
      <c r="M103" s="1"/>
      <c r="N103" s="1"/>
    </row>
    <row r="104" spans="1:14" ht="15.6" x14ac:dyDescent="0.25">
      <c r="A104" s="1"/>
      <c r="B104" s="37" t="s">
        <v>1180</v>
      </c>
      <c r="C104" s="99"/>
      <c r="D104" s="86"/>
      <c r="E104" s="99"/>
      <c r="F104" s="86"/>
      <c r="G104" s="1"/>
      <c r="H104" s="1"/>
      <c r="I104" s="1"/>
      <c r="J104" s="1"/>
      <c r="K104" s="1"/>
      <c r="L104" s="1"/>
      <c r="M104" s="1"/>
      <c r="N104" s="1"/>
    </row>
    <row r="105" spans="1:14" ht="15.6" x14ac:dyDescent="0.25">
      <c r="A105" s="1"/>
      <c r="B105" s="83">
        <v>63</v>
      </c>
      <c r="C105" s="23" t="s">
        <v>1505</v>
      </c>
      <c r="D105" s="27">
        <v>35.6</v>
      </c>
      <c r="E105" s="23"/>
      <c r="F105" s="27"/>
      <c r="G105" s="1"/>
      <c r="H105" s="1"/>
      <c r="I105" s="1"/>
      <c r="J105" s="1"/>
      <c r="K105" s="1"/>
      <c r="L105" s="1"/>
      <c r="M105" s="1"/>
      <c r="N105" s="1"/>
    </row>
    <row r="106" spans="1:14" ht="15.6" x14ac:dyDescent="0.25">
      <c r="A106" s="1"/>
      <c r="B106" s="84">
        <v>75</v>
      </c>
      <c r="C106" s="23" t="s">
        <v>1506</v>
      </c>
      <c r="D106" s="27">
        <v>52</v>
      </c>
      <c r="E106" s="23"/>
      <c r="F106" s="27"/>
      <c r="G106" s="1"/>
      <c r="H106" s="1"/>
      <c r="I106" s="1"/>
      <c r="J106" s="1"/>
      <c r="K106" s="1"/>
      <c r="L106" s="1"/>
      <c r="M106" s="1"/>
      <c r="N106" s="1"/>
    </row>
    <row r="107" spans="1:14" ht="15.6" x14ac:dyDescent="0.25">
      <c r="A107" s="1"/>
      <c r="B107" s="84">
        <v>90</v>
      </c>
      <c r="C107" s="23" t="s">
        <v>1507</v>
      </c>
      <c r="D107" s="27">
        <v>75.8</v>
      </c>
      <c r="E107" s="23"/>
      <c r="F107" s="27"/>
      <c r="G107" s="1"/>
      <c r="H107" s="1"/>
      <c r="I107" s="1"/>
      <c r="J107" s="1"/>
      <c r="K107" s="1"/>
      <c r="L107" s="1"/>
      <c r="M107" s="1"/>
      <c r="N107" s="1"/>
    </row>
    <row r="108" spans="1:14" ht="15.6" x14ac:dyDescent="0.25">
      <c r="A108" s="1"/>
      <c r="B108" s="84">
        <v>110</v>
      </c>
      <c r="C108" s="23" t="s">
        <v>1508</v>
      </c>
      <c r="D108" s="27">
        <v>116.8</v>
      </c>
      <c r="E108" s="23"/>
      <c r="F108" s="27"/>
      <c r="G108" s="1"/>
      <c r="H108" s="1"/>
      <c r="I108" s="1"/>
      <c r="J108" s="1"/>
      <c r="K108" s="1"/>
      <c r="L108" s="1"/>
      <c r="M108" s="1"/>
      <c r="N108" s="1"/>
    </row>
    <row r="109" spans="1:14" ht="15.6" x14ac:dyDescent="0.25">
      <c r="A109" s="1"/>
      <c r="B109" s="84">
        <v>160</v>
      </c>
      <c r="C109" s="23" t="s">
        <v>1509</v>
      </c>
      <c r="D109" s="27">
        <v>281.2</v>
      </c>
      <c r="E109" s="23"/>
      <c r="F109" s="27"/>
      <c r="G109" s="1"/>
      <c r="H109" s="1"/>
      <c r="I109" s="1"/>
      <c r="J109" s="1"/>
      <c r="K109" s="1"/>
      <c r="L109" s="1"/>
      <c r="M109" s="1"/>
      <c r="N109" s="1"/>
    </row>
    <row r="110" spans="1:14" ht="15.6" x14ac:dyDescent="0.25">
      <c r="A110" s="1"/>
      <c r="B110" s="84">
        <v>200</v>
      </c>
      <c r="C110" s="23" t="s">
        <v>1510</v>
      </c>
      <c r="D110" s="27">
        <v>492.8</v>
      </c>
      <c r="E110" s="23"/>
      <c r="F110" s="27"/>
      <c r="G110" s="1"/>
      <c r="H110" s="1"/>
      <c r="I110" s="1"/>
      <c r="J110" s="1"/>
      <c r="K110" s="1"/>
      <c r="L110" s="1"/>
      <c r="M110" s="1"/>
      <c r="N110" s="1"/>
    </row>
    <row r="111" spans="1:14" ht="15.6" x14ac:dyDescent="0.25">
      <c r="A111" s="1"/>
      <c r="B111" s="37" t="s">
        <v>1211</v>
      </c>
      <c r="C111" s="85"/>
      <c r="D111" s="86"/>
      <c r="E111" s="85"/>
      <c r="F111" s="86"/>
      <c r="G111" s="1"/>
      <c r="H111" s="1"/>
      <c r="I111" s="1"/>
      <c r="J111" s="1"/>
      <c r="K111" s="1"/>
      <c r="L111" s="1"/>
      <c r="M111" s="1"/>
      <c r="N111" s="1"/>
    </row>
    <row r="112" spans="1:14" ht="15.6" x14ac:dyDescent="0.25">
      <c r="A112" s="1"/>
      <c r="B112" s="84">
        <v>63</v>
      </c>
      <c r="C112" s="23" t="s">
        <v>1511</v>
      </c>
      <c r="D112" s="27">
        <v>87</v>
      </c>
      <c r="E112" s="23" t="s">
        <v>1512</v>
      </c>
      <c r="F112" s="27">
        <v>70</v>
      </c>
      <c r="G112" s="1"/>
      <c r="H112" s="1"/>
      <c r="I112" s="1"/>
      <c r="J112" s="1"/>
      <c r="K112" s="1"/>
      <c r="L112" s="1"/>
      <c r="M112" s="1"/>
      <c r="N112" s="1"/>
    </row>
    <row r="113" spans="1:14" ht="15.6" x14ac:dyDescent="0.25">
      <c r="A113" s="1"/>
      <c r="B113" s="84">
        <v>75</v>
      </c>
      <c r="C113" s="23" t="s">
        <v>1513</v>
      </c>
      <c r="D113" s="27">
        <v>129.19999999999999</v>
      </c>
      <c r="E113" s="100" t="s">
        <v>1514</v>
      </c>
      <c r="F113" s="27">
        <v>90</v>
      </c>
      <c r="G113" s="1"/>
      <c r="H113" s="1"/>
      <c r="I113" s="1"/>
      <c r="J113" s="1"/>
      <c r="K113" s="1"/>
      <c r="L113" s="1"/>
      <c r="M113" s="1"/>
      <c r="N113" s="1"/>
    </row>
    <row r="114" spans="1:14" ht="15.6" x14ac:dyDescent="0.25">
      <c r="A114" s="1"/>
      <c r="B114" s="84">
        <v>90</v>
      </c>
      <c r="C114" s="23" t="s">
        <v>1515</v>
      </c>
      <c r="D114" s="27">
        <v>190.8</v>
      </c>
      <c r="E114" s="23" t="s">
        <v>1516</v>
      </c>
      <c r="F114" s="27">
        <v>130</v>
      </c>
      <c r="G114" s="1"/>
      <c r="H114" s="1"/>
      <c r="I114" s="1"/>
      <c r="J114" s="1"/>
      <c r="K114" s="1"/>
      <c r="L114" s="1"/>
      <c r="M114" s="1"/>
      <c r="N114" s="1"/>
    </row>
    <row r="115" spans="1:14" ht="15.6" x14ac:dyDescent="0.25">
      <c r="A115" s="1"/>
      <c r="B115" s="84">
        <v>110</v>
      </c>
      <c r="C115" s="23" t="s">
        <v>1517</v>
      </c>
      <c r="D115" s="27">
        <v>302.09999999999997</v>
      </c>
      <c r="E115" s="23" t="s">
        <v>1518</v>
      </c>
      <c r="F115" s="27">
        <v>192</v>
      </c>
      <c r="G115" s="1"/>
      <c r="H115" s="1"/>
      <c r="I115" s="1"/>
      <c r="J115" s="1"/>
      <c r="K115" s="1"/>
      <c r="L115" s="1"/>
      <c r="M115" s="1"/>
      <c r="N115" s="1"/>
    </row>
    <row r="116" spans="1:14" ht="15.6" x14ac:dyDescent="0.25">
      <c r="A116" s="1"/>
      <c r="B116" s="84">
        <v>160</v>
      </c>
      <c r="C116" s="23" t="s">
        <v>1519</v>
      </c>
      <c r="D116" s="27">
        <v>756.8</v>
      </c>
      <c r="E116" s="23"/>
      <c r="F116" s="27"/>
      <c r="G116" s="1"/>
      <c r="H116" s="1"/>
      <c r="I116" s="1"/>
      <c r="J116" s="1"/>
      <c r="K116" s="1"/>
      <c r="L116" s="1"/>
      <c r="M116" s="1"/>
      <c r="N116" s="1"/>
    </row>
    <row r="117" spans="1:14" ht="15.6" x14ac:dyDescent="0.25">
      <c r="A117" s="1"/>
      <c r="B117" s="84">
        <v>200</v>
      </c>
      <c r="C117" s="23" t="s">
        <v>1520</v>
      </c>
      <c r="D117" s="27">
        <v>1276</v>
      </c>
      <c r="E117" s="23"/>
      <c r="F117" s="27"/>
      <c r="G117" s="1"/>
      <c r="H117" s="1"/>
      <c r="I117" s="1"/>
      <c r="J117" s="1"/>
      <c r="K117" s="1"/>
      <c r="L117" s="1"/>
      <c r="M117" s="1"/>
      <c r="N117" s="1"/>
    </row>
    <row r="118" spans="1:14" ht="15.6" x14ac:dyDescent="0.25">
      <c r="A118" s="1"/>
      <c r="B118" s="37" t="s">
        <v>1237</v>
      </c>
      <c r="C118" s="85"/>
      <c r="D118" s="86"/>
      <c r="E118" s="85"/>
      <c r="F118" s="86"/>
      <c r="G118" s="1"/>
      <c r="H118" s="1"/>
      <c r="I118" s="1"/>
      <c r="J118" s="1"/>
      <c r="K118" s="1"/>
      <c r="L118" s="1"/>
      <c r="M118" s="1"/>
      <c r="N118" s="1"/>
    </row>
    <row r="119" spans="1:14" ht="15.6" x14ac:dyDescent="0.25">
      <c r="A119" s="1"/>
      <c r="B119" s="84">
        <v>63</v>
      </c>
      <c r="C119" s="23" t="s">
        <v>1521</v>
      </c>
      <c r="D119" s="27">
        <v>62</v>
      </c>
      <c r="E119" s="23" t="s">
        <v>1522</v>
      </c>
      <c r="F119" s="27">
        <v>49</v>
      </c>
      <c r="G119" s="1"/>
      <c r="H119" s="1"/>
      <c r="I119" s="1"/>
      <c r="J119" s="1"/>
      <c r="K119" s="1"/>
      <c r="L119" s="1"/>
      <c r="M119" s="1"/>
      <c r="N119" s="1"/>
    </row>
    <row r="120" spans="1:14" ht="15.6" x14ac:dyDescent="0.25">
      <c r="A120" s="1"/>
      <c r="B120" s="84">
        <v>75</v>
      </c>
      <c r="C120" s="23" t="s">
        <v>1523</v>
      </c>
      <c r="D120" s="27">
        <v>93.1</v>
      </c>
      <c r="E120" s="23" t="s">
        <v>1524</v>
      </c>
      <c r="F120" s="27">
        <v>75</v>
      </c>
      <c r="G120" s="1"/>
      <c r="H120" s="1"/>
      <c r="I120" s="1"/>
      <c r="J120" s="1"/>
      <c r="K120" s="1"/>
      <c r="L120" s="1"/>
      <c r="M120" s="1"/>
      <c r="N120" s="1"/>
    </row>
    <row r="121" spans="1:14" ht="15.6" x14ac:dyDescent="0.25">
      <c r="A121" s="1"/>
      <c r="B121" s="84">
        <v>90</v>
      </c>
      <c r="C121" s="23" t="s">
        <v>1525</v>
      </c>
      <c r="D121" s="27">
        <v>138.6</v>
      </c>
      <c r="E121" s="23" t="s">
        <v>1526</v>
      </c>
      <c r="F121" s="27">
        <v>105</v>
      </c>
      <c r="G121" s="1"/>
      <c r="H121" s="1"/>
      <c r="I121" s="1"/>
      <c r="J121" s="1"/>
      <c r="K121" s="1"/>
      <c r="L121" s="1"/>
      <c r="M121" s="1"/>
      <c r="N121" s="1"/>
    </row>
    <row r="122" spans="1:14" ht="15.6" x14ac:dyDescent="0.25">
      <c r="A122" s="1"/>
      <c r="B122" s="84">
        <v>110</v>
      </c>
      <c r="C122" s="23" t="s">
        <v>1527</v>
      </c>
      <c r="D122" s="27">
        <v>226.1</v>
      </c>
      <c r="E122" s="23" t="s">
        <v>1528</v>
      </c>
      <c r="F122" s="27">
        <v>160</v>
      </c>
      <c r="G122" s="1"/>
      <c r="H122" s="1"/>
      <c r="I122" s="1"/>
      <c r="J122" s="1"/>
      <c r="K122" s="1"/>
      <c r="L122" s="1"/>
      <c r="M122" s="1"/>
      <c r="N122" s="1"/>
    </row>
    <row r="123" spans="1:14" ht="15.6" x14ac:dyDescent="0.25">
      <c r="A123" s="1"/>
      <c r="B123" s="84">
        <v>160</v>
      </c>
      <c r="C123" s="23" t="s">
        <v>1529</v>
      </c>
      <c r="D123" s="27">
        <v>627</v>
      </c>
      <c r="E123" s="23"/>
      <c r="F123" s="27"/>
      <c r="G123" s="1"/>
      <c r="H123" s="1"/>
      <c r="I123" s="1"/>
      <c r="J123" s="1"/>
      <c r="K123" s="1"/>
      <c r="L123" s="1"/>
      <c r="M123" s="1"/>
      <c r="N123" s="1"/>
    </row>
    <row r="124" spans="1:14" ht="15.6" x14ac:dyDescent="0.25">
      <c r="A124" s="1"/>
      <c r="B124" s="84">
        <v>200</v>
      </c>
      <c r="C124" s="23" t="s">
        <v>1530</v>
      </c>
      <c r="D124" s="27">
        <v>898</v>
      </c>
      <c r="E124" s="23"/>
      <c r="F124" s="27"/>
      <c r="G124" s="1"/>
      <c r="H124" s="1"/>
      <c r="I124" s="1"/>
      <c r="J124" s="1"/>
      <c r="K124" s="1"/>
      <c r="L124" s="1"/>
      <c r="M124" s="1"/>
      <c r="N124" s="1"/>
    </row>
    <row r="125" spans="1:14" ht="15.6" x14ac:dyDescent="0.25">
      <c r="A125" s="1"/>
      <c r="B125" s="37" t="s">
        <v>1417</v>
      </c>
      <c r="C125" s="85"/>
      <c r="D125" s="86"/>
      <c r="E125" s="85"/>
      <c r="F125" s="86"/>
      <c r="G125" s="1"/>
      <c r="H125" s="1"/>
      <c r="I125" s="1"/>
      <c r="J125" s="1"/>
      <c r="K125" s="1"/>
      <c r="L125" s="1"/>
      <c r="M125" s="1"/>
      <c r="N125" s="1"/>
    </row>
    <row r="126" spans="1:14" ht="15.6" x14ac:dyDescent="0.25">
      <c r="A126" s="1"/>
      <c r="B126" s="84">
        <v>63</v>
      </c>
      <c r="C126" s="23" t="s">
        <v>1531</v>
      </c>
      <c r="D126" s="27">
        <v>26.2</v>
      </c>
      <c r="E126" s="23"/>
      <c r="F126" s="27"/>
      <c r="G126" s="1"/>
      <c r="H126" s="1"/>
      <c r="I126" s="1"/>
      <c r="J126" s="1"/>
      <c r="K126" s="1"/>
      <c r="L126" s="1"/>
      <c r="M126" s="1"/>
      <c r="N126" s="1"/>
    </row>
    <row r="127" spans="1:14" ht="15.6" x14ac:dyDescent="0.25">
      <c r="A127" s="1"/>
      <c r="B127" s="84">
        <v>75</v>
      </c>
      <c r="C127" s="23" t="s">
        <v>1532</v>
      </c>
      <c r="D127" s="27">
        <v>37.9</v>
      </c>
      <c r="E127" s="23"/>
      <c r="F127" s="27"/>
      <c r="G127" s="1"/>
      <c r="H127" s="1"/>
      <c r="I127" s="1"/>
      <c r="J127" s="1"/>
      <c r="K127" s="1"/>
      <c r="L127" s="1"/>
      <c r="M127" s="1"/>
      <c r="N127" s="1"/>
    </row>
    <row r="128" spans="1:14" ht="15.6" x14ac:dyDescent="0.25">
      <c r="A128" s="1"/>
      <c r="B128" s="84">
        <v>90</v>
      </c>
      <c r="C128" s="23" t="s">
        <v>1533</v>
      </c>
      <c r="D128" s="27">
        <v>54</v>
      </c>
      <c r="E128" s="23"/>
      <c r="F128" s="27"/>
      <c r="G128" s="1"/>
      <c r="H128" s="1"/>
      <c r="I128" s="1"/>
      <c r="J128" s="1"/>
      <c r="K128" s="1"/>
      <c r="L128" s="1"/>
      <c r="M128" s="1"/>
      <c r="N128" s="1"/>
    </row>
    <row r="129" spans="1:14" ht="15.6" x14ac:dyDescent="0.25">
      <c r="A129" s="1"/>
      <c r="B129" s="84">
        <v>110</v>
      </c>
      <c r="C129" s="23" t="s">
        <v>1534</v>
      </c>
      <c r="D129" s="27">
        <v>83.9</v>
      </c>
      <c r="E129" s="23"/>
      <c r="F129" s="27"/>
      <c r="G129" s="1"/>
      <c r="H129" s="1"/>
      <c r="I129" s="1"/>
      <c r="J129" s="1"/>
      <c r="K129" s="1"/>
      <c r="L129" s="1"/>
      <c r="M129" s="1"/>
      <c r="N129" s="1"/>
    </row>
    <row r="130" spans="1:14" ht="15.6" x14ac:dyDescent="0.25">
      <c r="A130" s="1"/>
      <c r="B130" s="84">
        <v>160</v>
      </c>
      <c r="C130" s="23" t="s">
        <v>1535</v>
      </c>
      <c r="D130" s="27">
        <v>207.1</v>
      </c>
      <c r="E130" s="23"/>
      <c r="F130" s="27"/>
      <c r="G130" s="1"/>
      <c r="H130" s="1"/>
      <c r="I130" s="1"/>
      <c r="J130" s="1"/>
      <c r="K130" s="1"/>
      <c r="L130" s="1"/>
      <c r="M130" s="1"/>
      <c r="N130" s="1"/>
    </row>
    <row r="131" spans="1:14" ht="15.6" x14ac:dyDescent="0.25">
      <c r="A131" s="1"/>
      <c r="B131" s="84">
        <v>200</v>
      </c>
      <c r="C131" s="23" t="s">
        <v>1536</v>
      </c>
      <c r="D131" s="27">
        <v>414</v>
      </c>
      <c r="E131" s="23"/>
      <c r="F131" s="27"/>
      <c r="G131" s="1"/>
      <c r="H131" s="1"/>
      <c r="I131" s="1"/>
      <c r="J131" s="1"/>
      <c r="K131" s="1"/>
      <c r="L131" s="1"/>
      <c r="M131" s="1"/>
      <c r="N131" s="1"/>
    </row>
    <row r="132" spans="1:14" ht="15.6" x14ac:dyDescent="0.25">
      <c r="A132" s="1"/>
      <c r="B132" s="37" t="s">
        <v>1537</v>
      </c>
      <c r="C132" s="85"/>
      <c r="D132" s="86"/>
      <c r="E132" s="85"/>
      <c r="F132" s="86"/>
      <c r="G132" s="1"/>
      <c r="H132" s="1"/>
      <c r="I132" s="1"/>
      <c r="J132" s="1"/>
      <c r="K132" s="1"/>
      <c r="L132" s="1"/>
      <c r="M132" s="1"/>
      <c r="N132" s="1"/>
    </row>
    <row r="133" spans="1:14" ht="15.6" x14ac:dyDescent="0.25">
      <c r="A133" s="1"/>
      <c r="B133" s="84" t="s">
        <v>1538</v>
      </c>
      <c r="C133" s="23" t="s">
        <v>1539</v>
      </c>
      <c r="D133" s="27">
        <v>19.2</v>
      </c>
      <c r="E133" s="23"/>
      <c r="F133" s="27"/>
      <c r="G133" s="1"/>
      <c r="H133" s="1"/>
      <c r="I133" s="1"/>
      <c r="J133" s="1"/>
      <c r="K133" s="1"/>
      <c r="L133" s="1"/>
      <c r="M133" s="1"/>
      <c r="N133" s="1"/>
    </row>
    <row r="134" spans="1:14" ht="15.6" x14ac:dyDescent="0.25">
      <c r="A134" s="1"/>
      <c r="B134" s="84" t="s">
        <v>1453</v>
      </c>
      <c r="C134" s="23" t="s">
        <v>1540</v>
      </c>
      <c r="D134" s="27">
        <v>41.2</v>
      </c>
      <c r="E134" s="23"/>
      <c r="F134" s="27"/>
      <c r="G134" s="1"/>
      <c r="H134" s="1"/>
      <c r="I134" s="1"/>
      <c r="J134" s="1"/>
      <c r="K134" s="1"/>
      <c r="L134" s="1"/>
      <c r="M134" s="1"/>
      <c r="N134" s="1"/>
    </row>
    <row r="135" spans="1:14" ht="15.6" x14ac:dyDescent="0.25">
      <c r="A135" s="1"/>
      <c r="B135" s="84" t="s">
        <v>1541</v>
      </c>
      <c r="C135" s="23" t="s">
        <v>1542</v>
      </c>
      <c r="D135" s="27">
        <v>129.19999999999999</v>
      </c>
      <c r="E135" s="23"/>
      <c r="F135" s="27"/>
      <c r="G135" s="1"/>
      <c r="H135" s="1"/>
      <c r="I135" s="1"/>
      <c r="J135" s="1"/>
      <c r="K135" s="1"/>
      <c r="L135" s="1"/>
      <c r="M135" s="1"/>
      <c r="N135" s="1"/>
    </row>
    <row r="136" spans="1:14" ht="15.6" x14ac:dyDescent="0.25">
      <c r="A136" s="1"/>
      <c r="B136" s="37" t="s">
        <v>1257</v>
      </c>
      <c r="C136" s="85"/>
      <c r="D136" s="86"/>
      <c r="E136" s="85"/>
      <c r="F136" s="86"/>
      <c r="G136" s="1"/>
      <c r="H136" s="1"/>
      <c r="I136" s="1"/>
      <c r="J136" s="1"/>
      <c r="K136" s="1"/>
      <c r="L136" s="1"/>
      <c r="M136" s="1"/>
      <c r="N136" s="1"/>
    </row>
    <row r="137" spans="1:14" ht="15.6" x14ac:dyDescent="0.25">
      <c r="A137" s="1"/>
      <c r="B137" s="84">
        <v>90</v>
      </c>
      <c r="C137" s="23" t="s">
        <v>1543</v>
      </c>
      <c r="D137" s="27">
        <v>148</v>
      </c>
      <c r="E137" s="23"/>
      <c r="F137" s="27"/>
      <c r="G137" s="1"/>
      <c r="H137" s="1"/>
      <c r="I137" s="1"/>
      <c r="J137" s="1"/>
      <c r="K137" s="1"/>
      <c r="L137" s="1"/>
      <c r="M137" s="1"/>
      <c r="N137" s="1"/>
    </row>
    <row r="138" spans="1:14" ht="15.6" x14ac:dyDescent="0.25">
      <c r="A138" s="1"/>
      <c r="B138" s="84">
        <v>110</v>
      </c>
      <c r="C138" s="23" t="s">
        <v>1544</v>
      </c>
      <c r="D138" s="27">
        <v>236</v>
      </c>
      <c r="E138" s="23"/>
      <c r="F138" s="27"/>
      <c r="G138" s="1"/>
      <c r="H138" s="1"/>
      <c r="I138" s="1"/>
      <c r="J138" s="1"/>
      <c r="K138" s="1"/>
      <c r="L138" s="1"/>
      <c r="M138" s="1"/>
      <c r="N138" s="1"/>
    </row>
    <row r="139" spans="1:14" ht="15.6" x14ac:dyDescent="0.25">
      <c r="A139" s="1"/>
      <c r="B139" s="37" t="s">
        <v>1545</v>
      </c>
      <c r="C139" s="85"/>
      <c r="D139" s="86"/>
      <c r="E139" s="85"/>
      <c r="F139" s="86"/>
      <c r="G139" s="1"/>
      <c r="H139" s="1"/>
      <c r="I139" s="1"/>
      <c r="J139" s="1"/>
      <c r="K139" s="1"/>
      <c r="L139" s="1"/>
      <c r="M139" s="1"/>
      <c r="N139" s="1"/>
    </row>
    <row r="140" spans="1:14" ht="15.6" x14ac:dyDescent="0.25">
      <c r="A140" s="1"/>
      <c r="B140" s="84" t="s">
        <v>1471</v>
      </c>
      <c r="C140" s="23" t="s">
        <v>1546</v>
      </c>
      <c r="D140" s="27">
        <v>232</v>
      </c>
      <c r="E140" s="23"/>
      <c r="F140" s="27"/>
      <c r="G140" s="1"/>
      <c r="H140" s="1"/>
      <c r="I140" s="1"/>
      <c r="J140" s="1"/>
      <c r="K140" s="1"/>
      <c r="L140" s="1"/>
      <c r="M140" s="1"/>
      <c r="N140" s="1"/>
    </row>
    <row r="141" spans="1:14" ht="15.6" x14ac:dyDescent="0.25">
      <c r="A141" s="1"/>
      <c r="B141" s="84" t="s">
        <v>1473</v>
      </c>
      <c r="C141" s="23" t="s">
        <v>1547</v>
      </c>
      <c r="D141" s="27">
        <v>238</v>
      </c>
      <c r="E141" s="23"/>
      <c r="F141" s="27"/>
      <c r="G141" s="1"/>
      <c r="H141" s="1"/>
      <c r="I141" s="1"/>
      <c r="J141" s="1"/>
      <c r="K141" s="1"/>
      <c r="L141" s="1"/>
      <c r="M141" s="1"/>
      <c r="N141" s="1"/>
    </row>
    <row r="142" spans="1:14" ht="15.6" x14ac:dyDescent="0.25">
      <c r="A142" s="1"/>
      <c r="B142" s="37" t="s">
        <v>1548</v>
      </c>
      <c r="C142" s="85"/>
      <c r="D142" s="86"/>
      <c r="E142" s="85"/>
      <c r="F142" s="86"/>
      <c r="G142" s="1"/>
      <c r="H142" s="1"/>
      <c r="I142" s="1"/>
      <c r="J142" s="1"/>
      <c r="K142" s="1"/>
      <c r="L142" s="1"/>
      <c r="M142" s="1"/>
      <c r="N142" s="1"/>
    </row>
    <row r="143" spans="1:14" ht="15.6" x14ac:dyDescent="0.25">
      <c r="A143" s="1"/>
      <c r="B143" s="84" t="s">
        <v>1549</v>
      </c>
      <c r="C143" s="23" t="s">
        <v>1550</v>
      </c>
      <c r="D143" s="27">
        <v>3.5</v>
      </c>
      <c r="E143" s="23"/>
      <c r="F143" s="27"/>
      <c r="G143" s="1"/>
      <c r="H143" s="1"/>
      <c r="I143" s="1"/>
      <c r="J143" s="1"/>
      <c r="K143" s="1"/>
      <c r="L143" s="1"/>
      <c r="M143" s="1"/>
      <c r="N143" s="1"/>
    </row>
    <row r="144" spans="1:14" ht="15.6" x14ac:dyDescent="0.25">
      <c r="A144" s="1"/>
      <c r="B144" s="84" t="s">
        <v>1551</v>
      </c>
      <c r="C144" s="23" t="s">
        <v>1552</v>
      </c>
      <c r="D144" s="27">
        <v>6.9</v>
      </c>
      <c r="E144" s="23"/>
      <c r="F144" s="27"/>
      <c r="G144" s="1"/>
      <c r="H144" s="1"/>
      <c r="I144" s="1"/>
      <c r="J144" s="1"/>
      <c r="K144" s="1"/>
      <c r="L144" s="1"/>
      <c r="M144" s="1"/>
      <c r="N144" s="1"/>
    </row>
    <row r="145" spans="1:14" ht="15.6" x14ac:dyDescent="0.25">
      <c r="A145" s="1"/>
      <c r="B145" s="84" t="s">
        <v>1553</v>
      </c>
      <c r="C145" s="23" t="s">
        <v>1554</v>
      </c>
      <c r="D145" s="27">
        <v>13.7</v>
      </c>
      <c r="E145" s="23"/>
      <c r="F145" s="27"/>
      <c r="G145" s="1"/>
      <c r="H145" s="1"/>
      <c r="I145" s="1"/>
      <c r="J145" s="1"/>
      <c r="K145" s="1"/>
      <c r="L145" s="1"/>
      <c r="M145" s="1"/>
      <c r="N145" s="1"/>
    </row>
    <row r="146" spans="1:14" ht="15.6" x14ac:dyDescent="0.25">
      <c r="A146" s="1"/>
      <c r="B146" s="84" t="s">
        <v>1555</v>
      </c>
      <c r="C146" s="23" t="s">
        <v>1556</v>
      </c>
      <c r="D146" s="27">
        <v>19.600000000000001</v>
      </c>
      <c r="E146" s="23"/>
      <c r="F146" s="27"/>
      <c r="G146" s="1"/>
      <c r="H146" s="1"/>
      <c r="I146" s="1"/>
      <c r="J146" s="1"/>
      <c r="K146" s="1"/>
      <c r="L146" s="1"/>
      <c r="M146" s="1"/>
      <c r="N146" s="1"/>
    </row>
    <row r="147" spans="1:14" ht="15.6" x14ac:dyDescent="0.25">
      <c r="A147" s="1"/>
      <c r="B147" s="84" t="s">
        <v>1557</v>
      </c>
      <c r="C147" s="23" t="s">
        <v>1558</v>
      </c>
      <c r="D147" s="27">
        <v>6.4</v>
      </c>
      <c r="E147" s="23"/>
      <c r="F147" s="27"/>
      <c r="G147" s="1"/>
      <c r="H147" s="1"/>
      <c r="I147" s="1"/>
      <c r="J147" s="1"/>
      <c r="K147" s="1"/>
      <c r="L147" s="1"/>
      <c r="M147" s="1"/>
      <c r="N147" s="1"/>
    </row>
    <row r="148" spans="1:14" ht="15.6" x14ac:dyDescent="0.25">
      <c r="A148" s="1"/>
      <c r="B148" s="84" t="s">
        <v>1559</v>
      </c>
      <c r="C148" s="23" t="s">
        <v>1560</v>
      </c>
      <c r="D148" s="27">
        <v>15.7</v>
      </c>
      <c r="E148" s="23"/>
      <c r="F148" s="27"/>
      <c r="G148" s="1"/>
      <c r="H148" s="1"/>
      <c r="I148" s="1"/>
      <c r="J148" s="1"/>
      <c r="K148" s="1"/>
      <c r="L148" s="1"/>
      <c r="M148" s="1"/>
      <c r="N148" s="1"/>
    </row>
    <row r="149" spans="1:14" ht="15.6" x14ac:dyDescent="0.25">
      <c r="A149" s="1"/>
      <c r="B149" s="84" t="s">
        <v>1561</v>
      </c>
      <c r="C149" s="23" t="s">
        <v>1562</v>
      </c>
      <c r="D149" s="27">
        <v>22.1</v>
      </c>
      <c r="E149" s="23"/>
      <c r="F149" s="27"/>
      <c r="G149" s="1"/>
      <c r="H149" s="1"/>
      <c r="I149" s="1"/>
      <c r="J149" s="1"/>
      <c r="K149" s="1"/>
      <c r="L149" s="1"/>
      <c r="M149" s="1"/>
      <c r="N149" s="1"/>
    </row>
    <row r="150" spans="1:14" ht="15.6" x14ac:dyDescent="0.25">
      <c r="A150" s="1"/>
      <c r="B150" s="84" t="s">
        <v>1563</v>
      </c>
      <c r="C150" s="23" t="s">
        <v>1564</v>
      </c>
      <c r="D150" s="27">
        <v>12.4</v>
      </c>
      <c r="E150" s="23"/>
      <c r="F150" s="27"/>
      <c r="G150" s="1"/>
      <c r="H150" s="1"/>
      <c r="I150" s="1"/>
      <c r="J150" s="1"/>
      <c r="K150" s="1"/>
      <c r="L150" s="1"/>
      <c r="M150" s="1"/>
      <c r="N150" s="1"/>
    </row>
    <row r="151" spans="1:14" ht="15.6" x14ac:dyDescent="0.25">
      <c r="A151" s="1"/>
      <c r="B151" s="84" t="s">
        <v>1565</v>
      </c>
      <c r="C151" s="23" t="s">
        <v>1566</v>
      </c>
      <c r="D151" s="27">
        <v>21.6</v>
      </c>
      <c r="E151" s="23"/>
      <c r="F151" s="27"/>
      <c r="G151" s="1"/>
      <c r="H151" s="1"/>
      <c r="I151" s="1"/>
      <c r="J151" s="1"/>
      <c r="K151" s="1"/>
      <c r="L151" s="1"/>
      <c r="M151" s="1"/>
      <c r="N151" s="1"/>
    </row>
    <row r="152" spans="1:14" ht="15.6" x14ac:dyDescent="0.25">
      <c r="A152" s="1"/>
      <c r="B152" s="84" t="s">
        <v>1567</v>
      </c>
      <c r="C152" s="23" t="s">
        <v>1568</v>
      </c>
      <c r="D152" s="27">
        <v>31.2</v>
      </c>
      <c r="E152" s="23"/>
      <c r="F152" s="27"/>
      <c r="G152" s="1"/>
      <c r="H152" s="1"/>
      <c r="I152" s="1"/>
      <c r="J152" s="1"/>
      <c r="K152" s="1"/>
      <c r="L152" s="1"/>
      <c r="M152" s="1"/>
      <c r="N152" s="1"/>
    </row>
    <row r="153" spans="1:14" ht="15.6" x14ac:dyDescent="0.25">
      <c r="A153" s="1"/>
      <c r="B153" s="84" t="s">
        <v>1569</v>
      </c>
      <c r="C153" s="23" t="s">
        <v>1570</v>
      </c>
      <c r="D153" s="27">
        <v>36.299999999999997</v>
      </c>
      <c r="E153" s="23"/>
      <c r="F153" s="27"/>
      <c r="G153" s="1"/>
      <c r="H153" s="1"/>
      <c r="I153" s="1"/>
      <c r="J153" s="1"/>
      <c r="K153" s="1"/>
      <c r="L153" s="1"/>
      <c r="M153" s="1"/>
      <c r="N153" s="1"/>
    </row>
    <row r="154" spans="1:14" ht="13.2" x14ac:dyDescent="0.25">
      <c r="A154" s="1"/>
      <c r="B154" s="1"/>
      <c r="C154" s="16"/>
      <c r="D154" s="86"/>
      <c r="E154" s="16"/>
      <c r="F154" s="86"/>
      <c r="G154" s="1"/>
      <c r="H154" s="1"/>
      <c r="I154" s="1"/>
      <c r="J154" s="1"/>
      <c r="K154" s="1"/>
      <c r="L154" s="1"/>
      <c r="M154" s="1"/>
      <c r="N154" s="1"/>
    </row>
    <row r="155" spans="1:14" ht="19.2" x14ac:dyDescent="0.25">
      <c r="A155" s="1"/>
      <c r="B155" s="81" t="s">
        <v>1571</v>
      </c>
      <c r="C155" s="82"/>
      <c r="D155" s="86"/>
      <c r="E155" s="82"/>
      <c r="F155" s="86"/>
      <c r="G155" s="1"/>
      <c r="H155" s="1"/>
      <c r="I155" s="1"/>
      <c r="J155" s="1"/>
      <c r="K155" s="1"/>
      <c r="L155" s="1"/>
      <c r="M155" s="1"/>
      <c r="N155" s="1"/>
    </row>
    <row r="156" spans="1:14" ht="15.6" x14ac:dyDescent="0.25">
      <c r="A156" s="1"/>
      <c r="B156" s="37" t="s">
        <v>1180</v>
      </c>
      <c r="C156" s="99"/>
      <c r="D156" s="86"/>
      <c r="E156" s="99"/>
      <c r="F156" s="86"/>
      <c r="G156" s="1"/>
      <c r="H156" s="1"/>
      <c r="I156" s="1"/>
      <c r="J156" s="1"/>
      <c r="K156" s="1"/>
      <c r="L156" s="1"/>
      <c r="M156" s="1"/>
      <c r="N156" s="1"/>
    </row>
    <row r="157" spans="1:14" ht="15.6" x14ac:dyDescent="0.25">
      <c r="A157" s="1"/>
      <c r="B157" s="84">
        <v>75</v>
      </c>
      <c r="C157" s="23" t="s">
        <v>1572</v>
      </c>
      <c r="D157" s="27">
        <v>27.4</v>
      </c>
      <c r="E157" s="23"/>
      <c r="F157" s="27"/>
      <c r="G157" s="1"/>
      <c r="H157" s="1"/>
      <c r="I157" s="1"/>
      <c r="J157" s="1"/>
      <c r="K157" s="1"/>
      <c r="L157" s="1"/>
      <c r="M157" s="1"/>
      <c r="N157" s="1"/>
    </row>
    <row r="158" spans="1:14" ht="15.6" x14ac:dyDescent="0.25">
      <c r="A158" s="1"/>
      <c r="B158" s="84">
        <v>90</v>
      </c>
      <c r="C158" s="23" t="s">
        <v>1573</v>
      </c>
      <c r="D158" s="27">
        <v>38.4</v>
      </c>
      <c r="E158" s="23"/>
      <c r="F158" s="27"/>
      <c r="G158" s="1"/>
      <c r="H158" s="1"/>
      <c r="I158" s="1"/>
      <c r="J158" s="1"/>
      <c r="K158" s="1"/>
      <c r="L158" s="1"/>
      <c r="M158" s="1"/>
      <c r="N158" s="1"/>
    </row>
    <row r="159" spans="1:14" ht="15.6" x14ac:dyDescent="0.25">
      <c r="A159" s="1"/>
      <c r="B159" s="84">
        <v>110</v>
      </c>
      <c r="C159" s="23" t="s">
        <v>1574</v>
      </c>
      <c r="D159" s="27">
        <v>66</v>
      </c>
      <c r="E159" s="23"/>
      <c r="F159" s="27"/>
      <c r="G159" s="1"/>
      <c r="H159" s="1"/>
      <c r="I159" s="1"/>
      <c r="J159" s="1"/>
      <c r="K159" s="1"/>
      <c r="L159" s="1"/>
      <c r="M159" s="1"/>
      <c r="N159" s="1"/>
    </row>
    <row r="160" spans="1:14" ht="15.6" x14ac:dyDescent="0.25">
      <c r="A160" s="1"/>
      <c r="B160" s="37" t="s">
        <v>1211</v>
      </c>
      <c r="C160" s="85"/>
      <c r="D160" s="86"/>
      <c r="E160" s="85"/>
      <c r="F160" s="86"/>
      <c r="G160" s="1"/>
      <c r="H160" s="1"/>
      <c r="I160" s="1"/>
      <c r="J160" s="1"/>
      <c r="K160" s="1"/>
      <c r="L160" s="1"/>
      <c r="M160" s="1"/>
      <c r="N160" s="1"/>
    </row>
    <row r="161" spans="1:14" ht="15.6" x14ac:dyDescent="0.25">
      <c r="A161" s="1"/>
      <c r="B161" s="84">
        <v>75</v>
      </c>
      <c r="C161" s="23" t="s">
        <v>1575</v>
      </c>
      <c r="D161" s="27">
        <v>63.2</v>
      </c>
      <c r="E161" s="23" t="s">
        <v>1576</v>
      </c>
      <c r="F161" s="27">
        <v>46.5</v>
      </c>
      <c r="G161" s="1"/>
      <c r="H161" s="1"/>
      <c r="I161" s="1"/>
      <c r="J161" s="1"/>
      <c r="K161" s="1"/>
      <c r="L161" s="1"/>
      <c r="M161" s="1"/>
      <c r="N161" s="1"/>
    </row>
    <row r="162" spans="1:14" ht="15.6" x14ac:dyDescent="0.25">
      <c r="A162" s="1"/>
      <c r="B162" s="84">
        <v>90</v>
      </c>
      <c r="C162" s="23" t="s">
        <v>1577</v>
      </c>
      <c r="D162" s="27">
        <v>96.2</v>
      </c>
      <c r="E162" s="23" t="s">
        <v>1578</v>
      </c>
      <c r="F162" s="27">
        <v>68</v>
      </c>
      <c r="G162" s="1"/>
      <c r="H162" s="1"/>
      <c r="I162" s="1"/>
      <c r="J162" s="1"/>
      <c r="K162" s="1"/>
      <c r="L162" s="1"/>
      <c r="M162" s="1"/>
      <c r="N162" s="1"/>
    </row>
    <row r="163" spans="1:14" ht="15.6" x14ac:dyDescent="0.25">
      <c r="A163" s="1"/>
      <c r="B163" s="84">
        <v>110</v>
      </c>
      <c r="C163" s="23" t="s">
        <v>1579</v>
      </c>
      <c r="D163" s="27">
        <v>165</v>
      </c>
      <c r="E163" s="23" t="s">
        <v>1580</v>
      </c>
      <c r="F163" s="27">
        <v>110</v>
      </c>
      <c r="G163" s="1"/>
      <c r="H163" s="1"/>
      <c r="I163" s="1"/>
      <c r="J163" s="1"/>
      <c r="K163" s="1"/>
      <c r="L163" s="1"/>
      <c r="M163" s="1"/>
      <c r="N163" s="1"/>
    </row>
    <row r="164" spans="1:14" ht="15.6" x14ac:dyDescent="0.25">
      <c r="A164" s="1"/>
      <c r="B164" s="37" t="s">
        <v>1237</v>
      </c>
      <c r="C164" s="85"/>
      <c r="D164" s="101"/>
      <c r="E164" s="85"/>
      <c r="F164" s="101"/>
      <c r="G164" s="1"/>
      <c r="H164" s="1"/>
      <c r="I164" s="1"/>
      <c r="J164" s="1"/>
      <c r="K164" s="1"/>
      <c r="L164" s="1"/>
      <c r="M164" s="1"/>
      <c r="N164" s="1"/>
    </row>
    <row r="165" spans="1:14" ht="15.6" x14ac:dyDescent="0.25">
      <c r="A165" s="1"/>
      <c r="B165" s="84">
        <v>75</v>
      </c>
      <c r="C165" s="23" t="s">
        <v>1581</v>
      </c>
      <c r="D165" s="27">
        <v>46.6</v>
      </c>
      <c r="E165" s="23" t="s">
        <v>1582</v>
      </c>
      <c r="F165" s="27">
        <v>35</v>
      </c>
      <c r="G165" s="1"/>
      <c r="H165" s="1"/>
      <c r="I165" s="1"/>
      <c r="J165" s="1"/>
      <c r="K165" s="1"/>
      <c r="L165" s="1"/>
      <c r="M165" s="1"/>
      <c r="N165" s="1"/>
    </row>
    <row r="166" spans="1:14" ht="15.6" x14ac:dyDescent="0.25">
      <c r="A166" s="1"/>
      <c r="B166" s="84">
        <v>90</v>
      </c>
      <c r="C166" s="23" t="s">
        <v>1583</v>
      </c>
      <c r="D166" s="27">
        <v>71.400000000000006</v>
      </c>
      <c r="E166" s="23" t="s">
        <v>1584</v>
      </c>
      <c r="F166" s="27">
        <v>61</v>
      </c>
      <c r="G166" s="1"/>
      <c r="H166" s="1"/>
      <c r="I166" s="1"/>
      <c r="J166" s="1"/>
      <c r="K166" s="1"/>
      <c r="L166" s="1"/>
      <c r="M166" s="1"/>
      <c r="N166" s="1"/>
    </row>
    <row r="167" spans="1:14" ht="15.6" x14ac:dyDescent="0.25">
      <c r="A167" s="1"/>
      <c r="B167" s="84">
        <v>110</v>
      </c>
      <c r="C167" s="23" t="s">
        <v>1585</v>
      </c>
      <c r="D167" s="27">
        <v>115.4</v>
      </c>
      <c r="E167" s="23" t="s">
        <v>1586</v>
      </c>
      <c r="F167" s="27">
        <v>89</v>
      </c>
      <c r="G167" s="1"/>
      <c r="H167" s="1"/>
      <c r="I167" s="1"/>
      <c r="J167" s="1"/>
      <c r="K167" s="1"/>
      <c r="L167" s="1"/>
      <c r="M167" s="1"/>
      <c r="N167" s="1"/>
    </row>
  </sheetData>
  <mergeCells count="2">
    <mergeCell ref="C1:D1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F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4" sqref="I14"/>
    </sheetView>
  </sheetViews>
  <sheetFormatPr defaultColWidth="12.6640625" defaultRowHeight="15.75" customHeight="1" x14ac:dyDescent="0.25"/>
  <cols>
    <col min="1" max="1" width="2.21875" customWidth="1"/>
    <col min="2" max="2" width="29.33203125" customWidth="1"/>
    <col min="4" max="4" width="16" customWidth="1"/>
  </cols>
  <sheetData>
    <row r="1" spans="2:6" ht="33.75" customHeight="1" x14ac:dyDescent="0.25">
      <c r="B1" s="1"/>
      <c r="C1" s="170" t="s">
        <v>0</v>
      </c>
      <c r="D1" s="171"/>
      <c r="E1" s="170" t="s">
        <v>1</v>
      </c>
      <c r="F1" s="171"/>
    </row>
    <row r="2" spans="2:6" ht="33.75" customHeight="1" x14ac:dyDescent="0.25">
      <c r="B2" s="102" t="s">
        <v>4</v>
      </c>
      <c r="C2" s="5" t="s">
        <v>5</v>
      </c>
      <c r="D2" s="6" t="s">
        <v>6</v>
      </c>
      <c r="E2" s="7" t="s">
        <v>5</v>
      </c>
      <c r="F2" s="8">
        <v>46235</v>
      </c>
    </row>
    <row r="3" spans="2:6" ht="19.2" x14ac:dyDescent="0.35">
      <c r="B3" s="103" t="s">
        <v>1587</v>
      </c>
    </row>
    <row r="4" spans="2:6" ht="15.6" x14ac:dyDescent="0.25">
      <c r="B4" s="82" t="s">
        <v>1180</v>
      </c>
    </row>
    <row r="5" spans="2:6" ht="15.6" x14ac:dyDescent="0.3">
      <c r="B5" s="104">
        <v>63</v>
      </c>
      <c r="C5" s="23" t="s">
        <v>1588</v>
      </c>
      <c r="D5" s="27">
        <v>38.4</v>
      </c>
      <c r="E5" s="23"/>
      <c r="F5" s="27"/>
    </row>
    <row r="6" spans="2:6" ht="15.6" x14ac:dyDescent="0.3">
      <c r="B6" s="105">
        <v>75</v>
      </c>
      <c r="C6" s="23" t="s">
        <v>1589</v>
      </c>
      <c r="D6" s="27">
        <v>55.4</v>
      </c>
      <c r="E6" s="23"/>
      <c r="F6" s="27"/>
    </row>
    <row r="7" spans="2:6" ht="15.6" x14ac:dyDescent="0.3">
      <c r="B7" s="105">
        <v>90</v>
      </c>
      <c r="C7" s="23" t="s">
        <v>1590</v>
      </c>
      <c r="D7" s="27">
        <v>80.8</v>
      </c>
      <c r="E7" s="23"/>
      <c r="F7" s="27"/>
    </row>
    <row r="8" spans="2:6" ht="15.6" x14ac:dyDescent="0.3">
      <c r="B8" s="105">
        <v>110</v>
      </c>
      <c r="C8" s="23" t="s">
        <v>1591</v>
      </c>
      <c r="D8" s="27">
        <v>124.8</v>
      </c>
      <c r="E8" s="23"/>
      <c r="F8" s="27"/>
    </row>
    <row r="9" spans="2:6" ht="15.6" x14ac:dyDescent="0.3">
      <c r="B9" s="105">
        <v>160</v>
      </c>
      <c r="C9" s="23" t="s">
        <v>1592</v>
      </c>
      <c r="D9" s="27">
        <v>299.39999999999998</v>
      </c>
      <c r="E9" s="23"/>
      <c r="F9" s="27"/>
    </row>
    <row r="10" spans="2:6" ht="15.6" x14ac:dyDescent="0.3">
      <c r="B10" s="105">
        <v>200</v>
      </c>
      <c r="C10" s="23" t="s">
        <v>1593</v>
      </c>
      <c r="D10" s="27">
        <v>520.4</v>
      </c>
      <c r="E10" s="23"/>
      <c r="F10" s="27"/>
    </row>
    <row r="11" spans="2:6" ht="15.6" x14ac:dyDescent="0.25">
      <c r="B11" s="82" t="s">
        <v>1211</v>
      </c>
    </row>
    <row r="12" spans="2:6" ht="15.6" x14ac:dyDescent="0.3">
      <c r="B12" s="104">
        <v>63</v>
      </c>
      <c r="C12" s="23" t="s">
        <v>1594</v>
      </c>
      <c r="D12" s="27">
        <v>93.4</v>
      </c>
      <c r="E12" s="23" t="s">
        <v>1595</v>
      </c>
      <c r="F12" s="27">
        <v>82.5</v>
      </c>
    </row>
    <row r="13" spans="2:6" ht="15.6" x14ac:dyDescent="0.3">
      <c r="B13" s="104">
        <v>75</v>
      </c>
      <c r="C13" s="23" t="s">
        <v>1596</v>
      </c>
      <c r="D13" s="27">
        <v>138.4</v>
      </c>
      <c r="E13" s="23" t="s">
        <v>1597</v>
      </c>
      <c r="F13" s="27">
        <v>112</v>
      </c>
    </row>
    <row r="14" spans="2:6" ht="15.6" x14ac:dyDescent="0.3">
      <c r="B14" s="104">
        <v>90</v>
      </c>
      <c r="C14" s="23" t="s">
        <v>1598</v>
      </c>
      <c r="D14" s="27">
        <v>204.4</v>
      </c>
      <c r="E14" s="23" t="s">
        <v>1599</v>
      </c>
      <c r="F14" s="27">
        <v>153</v>
      </c>
    </row>
    <row r="15" spans="2:6" ht="15.6" x14ac:dyDescent="0.3">
      <c r="B15" s="104">
        <v>110</v>
      </c>
      <c r="C15" s="23" t="s">
        <v>1600</v>
      </c>
      <c r="D15" s="27">
        <v>324.39999999999998</v>
      </c>
      <c r="E15" s="23" t="s">
        <v>1601</v>
      </c>
      <c r="F15" s="27">
        <v>250.5</v>
      </c>
    </row>
    <row r="16" spans="2:6" ht="15.6" x14ac:dyDescent="0.3">
      <c r="B16" s="104">
        <v>160</v>
      </c>
      <c r="C16" s="23" t="s">
        <v>1602</v>
      </c>
      <c r="D16" s="27">
        <v>812.8</v>
      </c>
      <c r="E16" s="23"/>
      <c r="F16" s="27"/>
    </row>
    <row r="17" spans="2:6" ht="15.6" x14ac:dyDescent="0.3">
      <c r="B17" s="104">
        <v>200</v>
      </c>
      <c r="C17" s="23" t="s">
        <v>1603</v>
      </c>
      <c r="D17" s="27">
        <v>1564.8</v>
      </c>
      <c r="E17" s="23"/>
      <c r="F17" s="27"/>
    </row>
    <row r="18" spans="2:6" ht="15.6" x14ac:dyDescent="0.25">
      <c r="B18" s="82" t="s">
        <v>1237</v>
      </c>
    </row>
    <row r="19" spans="2:6" ht="15.6" x14ac:dyDescent="0.3">
      <c r="B19" s="104">
        <v>63</v>
      </c>
      <c r="C19" s="23" t="s">
        <v>1604</v>
      </c>
      <c r="D19" s="27">
        <v>67.400000000000006</v>
      </c>
      <c r="E19" s="23" t="s">
        <v>1605</v>
      </c>
      <c r="F19" s="27">
        <v>66</v>
      </c>
    </row>
    <row r="20" spans="2:6" ht="15.6" x14ac:dyDescent="0.3">
      <c r="B20" s="104">
        <v>75</v>
      </c>
      <c r="C20" s="23" t="s">
        <v>1606</v>
      </c>
      <c r="D20" s="27">
        <v>99.8</v>
      </c>
      <c r="E20" s="23" t="s">
        <v>1607</v>
      </c>
      <c r="F20" s="27">
        <v>85</v>
      </c>
    </row>
    <row r="21" spans="2:6" ht="15.6" x14ac:dyDescent="0.3">
      <c r="B21" s="104">
        <v>90</v>
      </c>
      <c r="C21" s="23" t="s">
        <v>1608</v>
      </c>
      <c r="D21" s="27">
        <v>148.80000000000001</v>
      </c>
      <c r="E21" s="23" t="s">
        <v>1609</v>
      </c>
      <c r="F21" s="27">
        <v>122</v>
      </c>
    </row>
    <row r="22" spans="2:6" ht="15.6" x14ac:dyDescent="0.3">
      <c r="B22" s="104">
        <v>110</v>
      </c>
      <c r="C22" s="23" t="s">
        <v>1610</v>
      </c>
      <c r="D22" s="27">
        <v>242.8</v>
      </c>
      <c r="E22" s="23" t="s">
        <v>1611</v>
      </c>
      <c r="F22" s="27">
        <v>195</v>
      </c>
    </row>
    <row r="23" spans="2:6" ht="15.6" x14ac:dyDescent="0.3">
      <c r="B23" s="104">
        <v>160</v>
      </c>
      <c r="C23" s="23" t="s">
        <v>1612</v>
      </c>
      <c r="D23" s="27">
        <v>672.2</v>
      </c>
      <c r="E23" s="23"/>
      <c r="F23" s="27"/>
    </row>
    <row r="24" spans="2:6" ht="15.6" x14ac:dyDescent="0.3">
      <c r="B24" s="104">
        <v>200</v>
      </c>
      <c r="C24" s="23" t="s">
        <v>1613</v>
      </c>
      <c r="D24" s="27">
        <v>1053.4000000000001</v>
      </c>
      <c r="E24" s="23" t="s">
        <v>1614</v>
      </c>
      <c r="F24" s="27">
        <v>1630</v>
      </c>
    </row>
    <row r="25" spans="2:6" ht="15.6" x14ac:dyDescent="0.25">
      <c r="B25" s="82" t="s">
        <v>1417</v>
      </c>
    </row>
    <row r="26" spans="2:6" ht="15.6" x14ac:dyDescent="0.3">
      <c r="B26" s="104">
        <v>63</v>
      </c>
      <c r="C26" s="23" t="s">
        <v>1615</v>
      </c>
      <c r="D26" s="27">
        <v>28.8</v>
      </c>
      <c r="E26" s="23" t="s">
        <v>1616</v>
      </c>
      <c r="F26" s="27">
        <v>25.5</v>
      </c>
    </row>
    <row r="27" spans="2:6" ht="15.6" x14ac:dyDescent="0.3">
      <c r="B27" s="104">
        <v>75</v>
      </c>
      <c r="C27" s="23" t="s">
        <v>1617</v>
      </c>
      <c r="D27" s="27">
        <v>40.200000000000003</v>
      </c>
      <c r="E27" s="100" t="s">
        <v>1618</v>
      </c>
      <c r="F27" s="27">
        <v>34.5</v>
      </c>
    </row>
    <row r="28" spans="2:6" ht="15.6" x14ac:dyDescent="0.3">
      <c r="B28" s="104">
        <v>90</v>
      </c>
      <c r="C28" s="23" t="s">
        <v>1619</v>
      </c>
      <c r="D28" s="27">
        <v>58.2</v>
      </c>
      <c r="E28" s="23"/>
      <c r="F28" s="27"/>
    </row>
    <row r="29" spans="2:6" ht="15.6" x14ac:dyDescent="0.3">
      <c r="B29" s="104">
        <v>110</v>
      </c>
      <c r="C29" s="23" t="s">
        <v>1620</v>
      </c>
      <c r="D29" s="27">
        <v>90.2</v>
      </c>
      <c r="E29" s="23"/>
      <c r="F29" s="27"/>
    </row>
    <row r="30" spans="2:6" ht="15.6" x14ac:dyDescent="0.3">
      <c r="B30" s="104">
        <v>160</v>
      </c>
      <c r="C30" s="23" t="s">
        <v>1621</v>
      </c>
      <c r="D30" s="27">
        <v>222.4</v>
      </c>
      <c r="E30" s="23" t="s">
        <v>1622</v>
      </c>
      <c r="F30" s="27">
        <v>225</v>
      </c>
    </row>
    <row r="31" spans="2:6" ht="15.6" x14ac:dyDescent="0.3">
      <c r="B31" s="104">
        <v>200</v>
      </c>
      <c r="C31" s="23" t="s">
        <v>1623</v>
      </c>
      <c r="D31" s="27">
        <v>464.4</v>
      </c>
      <c r="E31" s="23"/>
      <c r="F31" s="27"/>
    </row>
    <row r="33" spans="2:6" ht="19.2" x14ac:dyDescent="0.35">
      <c r="B33" s="103" t="s">
        <v>1624</v>
      </c>
    </row>
    <row r="34" spans="2:6" ht="15.6" x14ac:dyDescent="0.25">
      <c r="B34" s="82" t="s">
        <v>1180</v>
      </c>
    </row>
    <row r="35" spans="2:6" ht="15.6" x14ac:dyDescent="0.3">
      <c r="B35" s="104">
        <v>75</v>
      </c>
      <c r="C35" s="23" t="s">
        <v>1625</v>
      </c>
      <c r="D35" s="27">
        <v>28.8</v>
      </c>
      <c r="E35" s="23"/>
      <c r="F35" s="27"/>
    </row>
    <row r="36" spans="2:6" ht="15.6" x14ac:dyDescent="0.3">
      <c r="B36" s="105">
        <v>90</v>
      </c>
      <c r="C36" s="23" t="s">
        <v>1626</v>
      </c>
      <c r="D36" s="27">
        <v>40.200000000000003</v>
      </c>
      <c r="E36" s="23"/>
      <c r="F36" s="27"/>
    </row>
    <row r="37" spans="2:6" ht="15.6" x14ac:dyDescent="0.3">
      <c r="B37" s="105">
        <v>110</v>
      </c>
      <c r="C37" s="23" t="s">
        <v>1627</v>
      </c>
      <c r="D37" s="27">
        <v>68</v>
      </c>
      <c r="E37" s="23"/>
      <c r="F37" s="27"/>
    </row>
    <row r="38" spans="2:6" ht="15.6" x14ac:dyDescent="0.25">
      <c r="B38" s="82" t="s">
        <v>1211</v>
      </c>
    </row>
    <row r="39" spans="2:6" ht="15.6" x14ac:dyDescent="0.3">
      <c r="B39" s="104">
        <v>75</v>
      </c>
      <c r="C39" s="23" t="s">
        <v>1628</v>
      </c>
      <c r="D39" s="27">
        <v>64.400000000000006</v>
      </c>
      <c r="E39" s="23" t="s">
        <v>1629</v>
      </c>
      <c r="F39" s="27">
        <v>52.5</v>
      </c>
    </row>
    <row r="40" spans="2:6" ht="15.6" x14ac:dyDescent="0.3">
      <c r="B40" s="104">
        <v>90</v>
      </c>
      <c r="C40" s="23" t="s">
        <v>1630</v>
      </c>
      <c r="D40" s="27">
        <v>98.2</v>
      </c>
      <c r="E40" s="23" t="s">
        <v>1631</v>
      </c>
      <c r="F40" s="27">
        <v>82</v>
      </c>
    </row>
    <row r="41" spans="2:6" ht="15.6" x14ac:dyDescent="0.3">
      <c r="B41" s="104">
        <v>110</v>
      </c>
      <c r="C41" s="23" t="s">
        <v>1632</v>
      </c>
      <c r="D41" s="27">
        <v>168.4</v>
      </c>
      <c r="E41" s="23" t="s">
        <v>1633</v>
      </c>
      <c r="F41" s="27">
        <v>131</v>
      </c>
    </row>
    <row r="42" spans="2:6" ht="15.6" x14ac:dyDescent="0.25">
      <c r="B42" s="82" t="s">
        <v>1237</v>
      </c>
    </row>
    <row r="43" spans="2:6" ht="15.6" x14ac:dyDescent="0.3">
      <c r="B43" s="104">
        <v>75</v>
      </c>
      <c r="C43" s="23">
        <v>48.2</v>
      </c>
      <c r="D43" s="27">
        <v>48.2</v>
      </c>
      <c r="E43" s="23" t="s">
        <v>1634</v>
      </c>
      <c r="F43" s="27">
        <v>41</v>
      </c>
    </row>
    <row r="44" spans="2:6" ht="15.6" x14ac:dyDescent="0.3">
      <c r="B44" s="104">
        <v>90</v>
      </c>
      <c r="C44" s="23">
        <v>72.8</v>
      </c>
      <c r="D44" s="27">
        <v>72.8</v>
      </c>
      <c r="E44" s="23" t="s">
        <v>1635</v>
      </c>
      <c r="F44" s="27">
        <v>64</v>
      </c>
    </row>
    <row r="45" spans="2:6" ht="15.6" x14ac:dyDescent="0.3">
      <c r="B45" s="104">
        <v>110</v>
      </c>
      <c r="C45" s="23">
        <v>117.4</v>
      </c>
      <c r="D45" s="27">
        <v>117.4</v>
      </c>
      <c r="E45" s="23" t="s">
        <v>1636</v>
      </c>
      <c r="F45" s="27">
        <v>99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3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17" sqref="H17"/>
    </sheetView>
  </sheetViews>
  <sheetFormatPr defaultColWidth="12.6640625" defaultRowHeight="15.75" customHeight="1" x14ac:dyDescent="0.25"/>
  <cols>
    <col min="1" max="1" width="2" customWidth="1"/>
    <col min="7" max="7" width="14.21875" customWidth="1"/>
  </cols>
  <sheetData>
    <row r="1" spans="1:11" ht="19.2" x14ac:dyDescent="0.25">
      <c r="A1" s="1"/>
      <c r="B1" s="1"/>
      <c r="C1" s="1"/>
      <c r="D1" s="1"/>
      <c r="E1" s="1"/>
      <c r="F1" s="170" t="s">
        <v>0</v>
      </c>
      <c r="G1" s="171"/>
      <c r="H1" s="170" t="s">
        <v>1</v>
      </c>
      <c r="I1" s="171"/>
      <c r="J1" s="1"/>
      <c r="K1" s="1"/>
    </row>
    <row r="2" spans="1:11" ht="36.75" customHeight="1" x14ac:dyDescent="0.25">
      <c r="A2" s="1"/>
      <c r="B2" s="106" t="s">
        <v>1119</v>
      </c>
      <c r="C2" s="4" t="s">
        <v>1637</v>
      </c>
      <c r="D2" s="4" t="s">
        <v>1638</v>
      </c>
      <c r="E2" s="4" t="s">
        <v>4</v>
      </c>
      <c r="F2" s="5" t="s">
        <v>5</v>
      </c>
      <c r="G2" s="6" t="s">
        <v>6</v>
      </c>
      <c r="H2" s="7" t="s">
        <v>5</v>
      </c>
      <c r="I2" s="8">
        <v>46235</v>
      </c>
      <c r="J2" s="1"/>
      <c r="K2" s="1"/>
    </row>
    <row r="3" spans="1:11" ht="15.6" x14ac:dyDescent="0.25">
      <c r="A3" s="1"/>
      <c r="B3" s="107" t="s">
        <v>1639</v>
      </c>
      <c r="C3" s="74"/>
      <c r="D3" s="74"/>
      <c r="E3" s="74"/>
      <c r="F3" s="108"/>
      <c r="G3" s="109"/>
      <c r="H3" s="1"/>
      <c r="I3" s="1"/>
      <c r="J3" s="1"/>
      <c r="K3" s="1"/>
    </row>
    <row r="4" spans="1:11" ht="15.6" x14ac:dyDescent="0.25">
      <c r="A4" s="1"/>
      <c r="B4" s="111" t="s">
        <v>1640</v>
      </c>
      <c r="C4" s="112">
        <v>3</v>
      </c>
      <c r="D4" s="113" t="s">
        <v>1641</v>
      </c>
      <c r="E4" s="175">
        <v>75</v>
      </c>
      <c r="F4" s="114" t="s">
        <v>1642</v>
      </c>
      <c r="G4" s="27">
        <v>578</v>
      </c>
      <c r="H4" s="23" t="s">
        <v>1643</v>
      </c>
      <c r="I4" s="27"/>
      <c r="J4" s="1"/>
      <c r="K4" s="1"/>
    </row>
    <row r="5" spans="1:11" ht="15.6" x14ac:dyDescent="0.25">
      <c r="A5" s="1"/>
      <c r="B5" s="111" t="s">
        <v>1640</v>
      </c>
      <c r="C5" s="112">
        <v>3</v>
      </c>
      <c r="D5" s="111" t="s">
        <v>1644</v>
      </c>
      <c r="E5" s="176"/>
      <c r="F5" s="114" t="s">
        <v>1645</v>
      </c>
      <c r="G5" s="27">
        <v>598</v>
      </c>
      <c r="H5" s="23" t="s">
        <v>1646</v>
      </c>
      <c r="I5" s="27"/>
      <c r="J5" s="1"/>
      <c r="K5" s="1"/>
    </row>
    <row r="6" spans="1:11" ht="15.6" x14ac:dyDescent="0.25">
      <c r="A6" s="1"/>
      <c r="B6" s="111" t="s">
        <v>1647</v>
      </c>
      <c r="C6" s="112">
        <v>6</v>
      </c>
      <c r="D6" s="111" t="s">
        <v>1641</v>
      </c>
      <c r="E6" s="176"/>
      <c r="F6" s="114" t="s">
        <v>1648</v>
      </c>
      <c r="G6" s="27">
        <v>1196</v>
      </c>
      <c r="H6" s="23" t="s">
        <v>1649</v>
      </c>
      <c r="I6" s="27"/>
      <c r="J6" s="1"/>
      <c r="K6" s="1"/>
    </row>
    <row r="7" spans="1:11" ht="15.6" x14ac:dyDescent="0.25">
      <c r="A7" s="1"/>
      <c r="B7" s="111" t="s">
        <v>1647</v>
      </c>
      <c r="C7" s="112">
        <v>6</v>
      </c>
      <c r="D7" s="111" t="s">
        <v>1644</v>
      </c>
      <c r="E7" s="176"/>
      <c r="F7" s="114" t="s">
        <v>1650</v>
      </c>
      <c r="G7" s="27">
        <v>1209</v>
      </c>
      <c r="H7" s="23" t="s">
        <v>1651</v>
      </c>
      <c r="I7" s="27"/>
      <c r="J7" s="1"/>
      <c r="K7" s="1"/>
    </row>
    <row r="8" spans="1:11" ht="15.6" x14ac:dyDescent="0.25">
      <c r="A8" s="1"/>
      <c r="B8" s="111" t="s">
        <v>1652</v>
      </c>
      <c r="C8" s="112">
        <v>0.61</v>
      </c>
      <c r="D8" s="111" t="s">
        <v>1644</v>
      </c>
      <c r="E8" s="176"/>
      <c r="F8" s="114" t="s">
        <v>1653</v>
      </c>
      <c r="G8" s="27">
        <v>148</v>
      </c>
      <c r="H8" s="23" t="s">
        <v>1654</v>
      </c>
      <c r="I8" s="27">
        <v>188</v>
      </c>
      <c r="J8" s="1"/>
      <c r="K8" s="1"/>
    </row>
    <row r="9" spans="1:11" ht="15.6" x14ac:dyDescent="0.25">
      <c r="A9" s="1"/>
      <c r="B9" s="111" t="s">
        <v>1655</v>
      </c>
      <c r="C9" s="112">
        <v>0.92</v>
      </c>
      <c r="D9" s="111" t="s">
        <v>1644</v>
      </c>
      <c r="E9" s="176"/>
      <c r="F9" s="114" t="s">
        <v>1656</v>
      </c>
      <c r="G9" s="27">
        <v>222</v>
      </c>
      <c r="H9" s="23" t="s">
        <v>1657</v>
      </c>
      <c r="I9" s="27">
        <v>255</v>
      </c>
      <c r="J9" s="1"/>
      <c r="K9" s="1"/>
    </row>
    <row r="10" spans="1:11" ht="15.6" x14ac:dyDescent="0.25">
      <c r="A10" s="1"/>
      <c r="B10" s="111" t="s">
        <v>1658</v>
      </c>
      <c r="C10" s="112">
        <v>1.22</v>
      </c>
      <c r="D10" s="111" t="s">
        <v>1644</v>
      </c>
      <c r="E10" s="176"/>
      <c r="F10" s="114" t="s">
        <v>1659</v>
      </c>
      <c r="G10" s="27">
        <v>296</v>
      </c>
      <c r="H10" s="23" t="s">
        <v>1660</v>
      </c>
      <c r="I10" s="27">
        <v>312</v>
      </c>
      <c r="J10" s="1"/>
      <c r="K10" s="1"/>
    </row>
    <row r="11" spans="1:11" ht="15.6" x14ac:dyDescent="0.25">
      <c r="A11" s="1"/>
      <c r="B11" s="111" t="s">
        <v>1661</v>
      </c>
      <c r="C11" s="112">
        <v>1.83</v>
      </c>
      <c r="D11" s="111" t="s">
        <v>1644</v>
      </c>
      <c r="E11" s="176"/>
      <c r="F11" s="114" t="s">
        <v>1662</v>
      </c>
      <c r="G11" s="27">
        <v>444</v>
      </c>
      <c r="H11" s="23" t="s">
        <v>1663</v>
      </c>
      <c r="I11" s="27">
        <v>449</v>
      </c>
      <c r="J11" s="1"/>
      <c r="K11" s="1"/>
    </row>
    <row r="12" spans="1:11" ht="15.6" x14ac:dyDescent="0.25">
      <c r="A12" s="1"/>
      <c r="B12" s="111" t="s">
        <v>1661</v>
      </c>
      <c r="C12" s="112">
        <v>1.83</v>
      </c>
      <c r="D12" s="111" t="s">
        <v>1641</v>
      </c>
      <c r="E12" s="176"/>
      <c r="F12" s="114" t="s">
        <v>1664</v>
      </c>
      <c r="G12" s="27">
        <v>434</v>
      </c>
      <c r="H12" s="23" t="s">
        <v>1665</v>
      </c>
      <c r="I12" s="27"/>
      <c r="J12" s="1"/>
      <c r="K12" s="1"/>
    </row>
    <row r="13" spans="1:11" ht="15.6" x14ac:dyDescent="0.25">
      <c r="A13" s="1"/>
      <c r="B13" s="111" t="s">
        <v>1658</v>
      </c>
      <c r="C13" s="112">
        <v>1.22</v>
      </c>
      <c r="D13" s="111" t="s">
        <v>1641</v>
      </c>
      <c r="E13" s="176"/>
      <c r="F13" s="114" t="s">
        <v>1666</v>
      </c>
      <c r="G13" s="27">
        <v>286</v>
      </c>
      <c r="H13" s="23" t="s">
        <v>1667</v>
      </c>
      <c r="I13" s="27"/>
      <c r="J13" s="1"/>
      <c r="K13" s="1"/>
    </row>
    <row r="14" spans="1:11" ht="15.6" x14ac:dyDescent="0.25">
      <c r="A14" s="1"/>
      <c r="B14" s="113" t="s">
        <v>1640</v>
      </c>
      <c r="C14" s="112">
        <v>3</v>
      </c>
      <c r="D14" s="111" t="s">
        <v>1641</v>
      </c>
      <c r="E14" s="175">
        <v>90</v>
      </c>
      <c r="F14" s="114" t="s">
        <v>1668</v>
      </c>
      <c r="G14" s="27">
        <v>698</v>
      </c>
      <c r="H14" s="23" t="s">
        <v>1669</v>
      </c>
      <c r="I14" s="27"/>
      <c r="J14" s="1"/>
      <c r="K14" s="1"/>
    </row>
    <row r="15" spans="1:11" ht="15.6" x14ac:dyDescent="0.25">
      <c r="A15" s="1"/>
      <c r="B15" s="111" t="s">
        <v>1640</v>
      </c>
      <c r="C15" s="112">
        <v>3</v>
      </c>
      <c r="D15" s="111" t="s">
        <v>1644</v>
      </c>
      <c r="E15" s="176"/>
      <c r="F15" s="114" t="s">
        <v>1670</v>
      </c>
      <c r="G15" s="27">
        <v>710</v>
      </c>
      <c r="H15" s="23" t="s">
        <v>1671</v>
      </c>
      <c r="I15" s="27"/>
      <c r="J15" s="1"/>
      <c r="K15" s="1"/>
    </row>
    <row r="16" spans="1:11" ht="15.6" x14ac:dyDescent="0.25">
      <c r="A16" s="1"/>
      <c r="B16" s="111" t="s">
        <v>1647</v>
      </c>
      <c r="C16" s="112">
        <v>6</v>
      </c>
      <c r="D16" s="111" t="s">
        <v>1641</v>
      </c>
      <c r="E16" s="176"/>
      <c r="F16" s="114" t="s">
        <v>1672</v>
      </c>
      <c r="G16" s="27">
        <v>1396</v>
      </c>
      <c r="H16" s="23" t="s">
        <v>1673</v>
      </c>
      <c r="I16" s="27"/>
      <c r="J16" s="1"/>
      <c r="K16" s="1"/>
    </row>
    <row r="17" spans="1:11" ht="15.6" x14ac:dyDescent="0.25">
      <c r="A17" s="1"/>
      <c r="B17" s="111" t="s">
        <v>1647</v>
      </c>
      <c r="C17" s="112">
        <v>6</v>
      </c>
      <c r="D17" s="111" t="s">
        <v>1644</v>
      </c>
      <c r="E17" s="176"/>
      <c r="F17" s="114" t="s">
        <v>1674</v>
      </c>
      <c r="G17" s="27">
        <v>1408</v>
      </c>
      <c r="H17" s="23" t="s">
        <v>1675</v>
      </c>
      <c r="I17" s="27"/>
      <c r="J17" s="1"/>
      <c r="K17" s="1"/>
    </row>
    <row r="18" spans="1:11" ht="15.6" x14ac:dyDescent="0.25">
      <c r="A18" s="1"/>
      <c r="B18" s="111" t="s">
        <v>1652</v>
      </c>
      <c r="C18" s="112">
        <v>0.61</v>
      </c>
      <c r="D18" s="111" t="s">
        <v>1644</v>
      </c>
      <c r="E18" s="176"/>
      <c r="F18" s="114" t="s">
        <v>1676</v>
      </c>
      <c r="G18" s="27">
        <v>188</v>
      </c>
      <c r="H18" s="23" t="s">
        <v>1677</v>
      </c>
      <c r="I18" s="27">
        <v>260</v>
      </c>
      <c r="J18" s="1"/>
      <c r="K18" s="1"/>
    </row>
    <row r="19" spans="1:11" ht="15.6" x14ac:dyDescent="0.25">
      <c r="A19" s="1"/>
      <c r="B19" s="111" t="s">
        <v>1655</v>
      </c>
      <c r="C19" s="112">
        <v>0.92</v>
      </c>
      <c r="D19" s="111" t="s">
        <v>1644</v>
      </c>
      <c r="E19" s="176"/>
      <c r="F19" s="114" t="s">
        <v>1678</v>
      </c>
      <c r="G19" s="27">
        <v>268</v>
      </c>
      <c r="H19" s="23" t="s">
        <v>1679</v>
      </c>
      <c r="I19" s="27">
        <v>314</v>
      </c>
      <c r="J19" s="1"/>
      <c r="K19" s="1"/>
    </row>
    <row r="20" spans="1:11" ht="15.6" x14ac:dyDescent="0.25">
      <c r="A20" s="1"/>
      <c r="B20" s="111" t="s">
        <v>1658</v>
      </c>
      <c r="C20" s="112">
        <v>1.22</v>
      </c>
      <c r="D20" s="111" t="s">
        <v>1644</v>
      </c>
      <c r="E20" s="176"/>
      <c r="F20" s="114" t="s">
        <v>1680</v>
      </c>
      <c r="G20" s="27">
        <v>368</v>
      </c>
      <c r="H20" s="23" t="s">
        <v>1681</v>
      </c>
      <c r="I20" s="27">
        <v>459</v>
      </c>
      <c r="J20" s="1"/>
      <c r="K20" s="1"/>
    </row>
    <row r="21" spans="1:11" ht="15.6" x14ac:dyDescent="0.25">
      <c r="A21" s="1"/>
      <c r="B21" s="111" t="s">
        <v>1661</v>
      </c>
      <c r="C21" s="112">
        <v>1.83</v>
      </c>
      <c r="D21" s="111" t="s">
        <v>1644</v>
      </c>
      <c r="E21" s="176"/>
      <c r="F21" s="114" t="s">
        <v>1682</v>
      </c>
      <c r="G21" s="27">
        <v>554</v>
      </c>
      <c r="H21" s="23" t="s">
        <v>1683</v>
      </c>
      <c r="I21" s="27">
        <v>581</v>
      </c>
      <c r="J21" s="1"/>
      <c r="K21" s="1"/>
    </row>
    <row r="22" spans="1:11" ht="15.6" x14ac:dyDescent="0.25">
      <c r="A22" s="1"/>
      <c r="B22" s="111" t="s">
        <v>1661</v>
      </c>
      <c r="C22" s="112">
        <v>1.83</v>
      </c>
      <c r="D22" s="111" t="s">
        <v>1641</v>
      </c>
      <c r="E22" s="176"/>
      <c r="F22" s="114" t="s">
        <v>1684</v>
      </c>
      <c r="G22" s="27">
        <v>540</v>
      </c>
      <c r="H22" s="23" t="s">
        <v>1685</v>
      </c>
      <c r="I22" s="27"/>
      <c r="J22" s="1"/>
      <c r="K22" s="1"/>
    </row>
    <row r="23" spans="1:11" ht="15.6" x14ac:dyDescent="0.25">
      <c r="A23" s="1"/>
      <c r="B23" s="111" t="s">
        <v>1658</v>
      </c>
      <c r="C23" s="112">
        <v>1.22</v>
      </c>
      <c r="D23" s="111" t="s">
        <v>1641</v>
      </c>
      <c r="E23" s="176"/>
      <c r="F23" s="114" t="s">
        <v>1686</v>
      </c>
      <c r="G23" s="27">
        <v>354</v>
      </c>
      <c r="H23" s="23" t="s">
        <v>1687</v>
      </c>
      <c r="I23" s="27"/>
      <c r="J23" s="1"/>
      <c r="K23" s="1"/>
    </row>
    <row r="24" spans="1:11" ht="15.6" x14ac:dyDescent="0.25">
      <c r="A24" s="1"/>
      <c r="B24" s="113" t="s">
        <v>1640</v>
      </c>
      <c r="C24" s="112">
        <v>3</v>
      </c>
      <c r="D24" s="111" t="s">
        <v>1641</v>
      </c>
      <c r="E24" s="175">
        <v>110</v>
      </c>
      <c r="F24" s="114" t="s">
        <v>1688</v>
      </c>
      <c r="G24" s="27">
        <v>970</v>
      </c>
      <c r="H24" s="23" t="s">
        <v>1689</v>
      </c>
      <c r="I24" s="27"/>
      <c r="J24" s="1"/>
      <c r="K24" s="1"/>
    </row>
    <row r="25" spans="1:11" ht="15.6" x14ac:dyDescent="0.25">
      <c r="A25" s="1"/>
      <c r="B25" s="111" t="s">
        <v>1640</v>
      </c>
      <c r="C25" s="112">
        <v>3</v>
      </c>
      <c r="D25" s="111" t="s">
        <v>1644</v>
      </c>
      <c r="E25" s="176"/>
      <c r="F25" s="114" t="s">
        <v>1690</v>
      </c>
      <c r="G25" s="27">
        <v>987</v>
      </c>
      <c r="H25" s="23" t="s">
        <v>1691</v>
      </c>
      <c r="I25" s="27"/>
      <c r="J25" s="1"/>
      <c r="K25" s="1"/>
    </row>
    <row r="26" spans="1:11" ht="15.6" x14ac:dyDescent="0.25">
      <c r="A26" s="1"/>
      <c r="B26" s="111" t="s">
        <v>1647</v>
      </c>
      <c r="C26" s="112">
        <v>6</v>
      </c>
      <c r="D26" s="111" t="s">
        <v>1641</v>
      </c>
      <c r="E26" s="176"/>
      <c r="F26" s="114" t="s">
        <v>1692</v>
      </c>
      <c r="G26" s="27">
        <v>1940</v>
      </c>
      <c r="H26" s="23" t="s">
        <v>1693</v>
      </c>
      <c r="I26" s="27"/>
      <c r="J26" s="1"/>
      <c r="K26" s="1"/>
    </row>
    <row r="27" spans="1:11" ht="15.6" x14ac:dyDescent="0.25">
      <c r="A27" s="1"/>
      <c r="B27" s="111" t="s">
        <v>1647</v>
      </c>
      <c r="C27" s="112">
        <v>6</v>
      </c>
      <c r="D27" s="111" t="s">
        <v>1644</v>
      </c>
      <c r="E27" s="176"/>
      <c r="F27" s="114" t="s">
        <v>1694</v>
      </c>
      <c r="G27" s="27">
        <v>1960</v>
      </c>
      <c r="H27" s="23" t="s">
        <v>1695</v>
      </c>
      <c r="I27" s="27"/>
      <c r="J27" s="1"/>
      <c r="K27" s="1"/>
    </row>
    <row r="28" spans="1:11" ht="15.6" x14ac:dyDescent="0.25">
      <c r="A28" s="1"/>
      <c r="B28" s="111" t="s">
        <v>1652</v>
      </c>
      <c r="C28" s="112">
        <v>0.61</v>
      </c>
      <c r="D28" s="111" t="s">
        <v>1644</v>
      </c>
      <c r="E28" s="176"/>
      <c r="F28" s="114" t="s">
        <v>1696</v>
      </c>
      <c r="G28" s="27">
        <v>258</v>
      </c>
      <c r="H28" s="23" t="s">
        <v>1697</v>
      </c>
      <c r="I28" s="27">
        <v>320</v>
      </c>
      <c r="J28" s="1"/>
      <c r="K28" s="1"/>
    </row>
    <row r="29" spans="1:11" ht="15.6" x14ac:dyDescent="0.25">
      <c r="A29" s="1"/>
      <c r="B29" s="111" t="s">
        <v>1655</v>
      </c>
      <c r="C29" s="112">
        <v>0.92</v>
      </c>
      <c r="D29" s="111" t="s">
        <v>1644</v>
      </c>
      <c r="E29" s="176"/>
      <c r="F29" s="114" t="s">
        <v>1698</v>
      </c>
      <c r="G29" s="27">
        <v>378</v>
      </c>
      <c r="H29" s="23" t="s">
        <v>1699</v>
      </c>
      <c r="I29" s="27">
        <v>428</v>
      </c>
      <c r="J29" s="1"/>
      <c r="K29" s="1"/>
    </row>
    <row r="30" spans="1:11" ht="15.6" x14ac:dyDescent="0.25">
      <c r="A30" s="1"/>
      <c r="B30" s="111" t="s">
        <v>1658</v>
      </c>
      <c r="C30" s="112">
        <v>1.22</v>
      </c>
      <c r="D30" s="111" t="s">
        <v>1644</v>
      </c>
      <c r="E30" s="176"/>
      <c r="F30" s="114" t="s">
        <v>1700</v>
      </c>
      <c r="G30" s="27">
        <v>494</v>
      </c>
      <c r="H30" s="23" t="s">
        <v>1701</v>
      </c>
      <c r="I30" s="27">
        <v>542</v>
      </c>
      <c r="J30" s="1"/>
      <c r="K30" s="1"/>
    </row>
    <row r="31" spans="1:11" ht="15.6" x14ac:dyDescent="0.25">
      <c r="A31" s="1"/>
      <c r="B31" s="111" t="s">
        <v>1661</v>
      </c>
      <c r="C31" s="112">
        <v>1.83</v>
      </c>
      <c r="D31" s="111" t="s">
        <v>1644</v>
      </c>
      <c r="E31" s="176"/>
      <c r="F31" s="114" t="s">
        <v>1702</v>
      </c>
      <c r="G31" s="27">
        <v>734</v>
      </c>
      <c r="H31" s="23" t="s">
        <v>1703</v>
      </c>
      <c r="I31" s="27">
        <v>780</v>
      </c>
      <c r="J31" s="1"/>
      <c r="K31" s="1"/>
    </row>
    <row r="32" spans="1:11" ht="15.6" x14ac:dyDescent="0.25">
      <c r="A32" s="1"/>
      <c r="B32" s="111" t="s">
        <v>1661</v>
      </c>
      <c r="C32" s="112">
        <v>1.83</v>
      </c>
      <c r="D32" s="111" t="s">
        <v>1641</v>
      </c>
      <c r="E32" s="176"/>
      <c r="F32" s="114" t="s">
        <v>1704</v>
      </c>
      <c r="G32" s="27">
        <v>720</v>
      </c>
      <c r="H32" s="23" t="s">
        <v>1705</v>
      </c>
      <c r="I32" s="27"/>
      <c r="J32" s="1"/>
      <c r="K32" s="1"/>
    </row>
    <row r="33" spans="1:11" ht="15.6" x14ac:dyDescent="0.25">
      <c r="A33" s="1"/>
      <c r="B33" s="111" t="s">
        <v>1658</v>
      </c>
      <c r="C33" s="112">
        <v>1.22</v>
      </c>
      <c r="D33" s="111" t="s">
        <v>1641</v>
      </c>
      <c r="E33" s="176"/>
      <c r="F33" s="114" t="s">
        <v>1706</v>
      </c>
      <c r="G33" s="27">
        <v>478</v>
      </c>
      <c r="H33" s="23" t="s">
        <v>1707</v>
      </c>
      <c r="I33" s="27"/>
      <c r="J33" s="1"/>
      <c r="K33" s="1"/>
    </row>
    <row r="34" spans="1:11" ht="15.6" x14ac:dyDescent="0.25">
      <c r="A34" s="1"/>
      <c r="B34" s="113" t="s">
        <v>1640</v>
      </c>
      <c r="C34" s="112">
        <v>3</v>
      </c>
      <c r="D34" s="111" t="s">
        <v>1641</v>
      </c>
      <c r="E34" s="178">
        <v>160</v>
      </c>
      <c r="F34" s="114" t="s">
        <v>1708</v>
      </c>
      <c r="G34" s="27">
        <v>2070</v>
      </c>
      <c r="H34" s="23" t="s">
        <v>1709</v>
      </c>
      <c r="I34" s="27"/>
      <c r="J34" s="1"/>
      <c r="K34" s="1"/>
    </row>
    <row r="35" spans="1:11" ht="15.6" x14ac:dyDescent="0.25">
      <c r="A35" s="1"/>
      <c r="B35" s="111" t="s">
        <v>1640</v>
      </c>
      <c r="C35" s="112">
        <v>3</v>
      </c>
      <c r="D35" s="111" t="s">
        <v>1644</v>
      </c>
      <c r="E35" s="179"/>
      <c r="F35" s="114" t="s">
        <v>1710</v>
      </c>
      <c r="G35" s="27">
        <v>2090</v>
      </c>
      <c r="H35" s="23" t="s">
        <v>1711</v>
      </c>
      <c r="I35" s="27"/>
      <c r="J35" s="1"/>
      <c r="K35" s="1"/>
    </row>
    <row r="36" spans="1:11" ht="15.6" x14ac:dyDescent="0.25">
      <c r="A36" s="1"/>
      <c r="B36" s="111" t="s">
        <v>1647</v>
      </c>
      <c r="C36" s="112">
        <v>6</v>
      </c>
      <c r="D36" s="111" t="s">
        <v>1641</v>
      </c>
      <c r="E36" s="179"/>
      <c r="F36" s="114" t="s">
        <v>1712</v>
      </c>
      <c r="G36" s="27">
        <v>4140</v>
      </c>
      <c r="H36" s="23" t="s">
        <v>1713</v>
      </c>
      <c r="I36" s="27"/>
      <c r="J36" s="1"/>
      <c r="K36" s="1"/>
    </row>
    <row r="37" spans="1:11" ht="15.6" x14ac:dyDescent="0.25">
      <c r="A37" s="1"/>
      <c r="B37" s="111" t="s">
        <v>1647</v>
      </c>
      <c r="C37" s="112">
        <v>6</v>
      </c>
      <c r="D37" s="111" t="s">
        <v>1644</v>
      </c>
      <c r="E37" s="179"/>
      <c r="F37" s="114" t="s">
        <v>1714</v>
      </c>
      <c r="G37" s="27">
        <v>4160</v>
      </c>
      <c r="H37" s="23" t="s">
        <v>1715</v>
      </c>
      <c r="I37" s="27"/>
      <c r="J37" s="1"/>
      <c r="K37" s="1"/>
    </row>
    <row r="38" spans="1:11" ht="15.6" x14ac:dyDescent="0.25">
      <c r="A38" s="1"/>
      <c r="B38" s="111" t="s">
        <v>1652</v>
      </c>
      <c r="C38" s="112">
        <v>0.61</v>
      </c>
      <c r="D38" s="111" t="s">
        <v>1644</v>
      </c>
      <c r="E38" s="179"/>
      <c r="F38" s="114" t="s">
        <v>1716</v>
      </c>
      <c r="G38" s="27">
        <v>498</v>
      </c>
      <c r="H38" s="23" t="s">
        <v>1717</v>
      </c>
      <c r="I38" s="27"/>
      <c r="J38" s="1"/>
      <c r="K38" s="1"/>
    </row>
    <row r="39" spans="1:11" ht="15.6" x14ac:dyDescent="0.25">
      <c r="A39" s="1"/>
      <c r="B39" s="111" t="s">
        <v>1655</v>
      </c>
      <c r="C39" s="112">
        <v>0.92</v>
      </c>
      <c r="D39" s="111" t="s">
        <v>1644</v>
      </c>
      <c r="E39" s="179"/>
      <c r="F39" s="114" t="s">
        <v>1718</v>
      </c>
      <c r="G39" s="27">
        <v>742</v>
      </c>
      <c r="H39" s="23" t="s">
        <v>1719</v>
      </c>
      <c r="I39" s="27"/>
      <c r="J39" s="1"/>
      <c r="K39" s="1"/>
    </row>
    <row r="40" spans="1:11" ht="15.6" x14ac:dyDescent="0.25">
      <c r="A40" s="1"/>
      <c r="B40" s="111" t="s">
        <v>1658</v>
      </c>
      <c r="C40" s="112">
        <v>1.22</v>
      </c>
      <c r="D40" s="111" t="s">
        <v>1644</v>
      </c>
      <c r="E40" s="179"/>
      <c r="F40" s="114" t="s">
        <v>1720</v>
      </c>
      <c r="G40" s="27">
        <v>978</v>
      </c>
      <c r="H40" s="23" t="s">
        <v>1721</v>
      </c>
      <c r="I40" s="27"/>
      <c r="J40" s="1"/>
      <c r="K40" s="1"/>
    </row>
    <row r="41" spans="1:11" ht="15.6" x14ac:dyDescent="0.25">
      <c r="A41" s="1"/>
      <c r="B41" s="111" t="s">
        <v>1661</v>
      </c>
      <c r="C41" s="112">
        <v>1.83</v>
      </c>
      <c r="D41" s="111" t="s">
        <v>1644</v>
      </c>
      <c r="E41" s="179"/>
      <c r="F41" s="114" t="s">
        <v>1722</v>
      </c>
      <c r="G41" s="27">
        <v>1472</v>
      </c>
      <c r="H41" s="23" t="s">
        <v>1723</v>
      </c>
      <c r="I41" s="27"/>
      <c r="J41" s="1"/>
      <c r="K41" s="1"/>
    </row>
    <row r="42" spans="1:11" ht="15.6" x14ac:dyDescent="0.25">
      <c r="A42" s="1"/>
      <c r="B42" s="111" t="s">
        <v>1661</v>
      </c>
      <c r="C42" s="112">
        <v>1.83</v>
      </c>
      <c r="D42" s="111" t="s">
        <v>1641</v>
      </c>
      <c r="E42" s="179"/>
      <c r="F42" s="114" t="s">
        <v>1724</v>
      </c>
      <c r="G42" s="27">
        <v>1446</v>
      </c>
      <c r="H42" s="23" t="s">
        <v>1725</v>
      </c>
      <c r="I42" s="27"/>
      <c r="J42" s="1"/>
      <c r="K42" s="1"/>
    </row>
    <row r="43" spans="1:11" ht="15.6" x14ac:dyDescent="0.25">
      <c r="A43" s="1"/>
      <c r="B43" s="111" t="s">
        <v>1658</v>
      </c>
      <c r="C43" s="112">
        <v>1.22</v>
      </c>
      <c r="D43" s="111" t="s">
        <v>1641</v>
      </c>
      <c r="E43" s="180"/>
      <c r="F43" s="114" t="s">
        <v>1726</v>
      </c>
      <c r="G43" s="27">
        <v>954</v>
      </c>
      <c r="H43" s="23" t="s">
        <v>1727</v>
      </c>
      <c r="I43" s="27"/>
      <c r="J43" s="1"/>
      <c r="K43" s="1"/>
    </row>
    <row r="44" spans="1:11" ht="13.2" x14ac:dyDescent="0.25">
      <c r="A44" s="1"/>
      <c r="B44" s="34"/>
      <c r="C44" s="34"/>
      <c r="D44" s="34"/>
      <c r="E44" s="34"/>
      <c r="F44" s="34"/>
      <c r="G44" s="116"/>
      <c r="H44" s="34"/>
      <c r="I44" s="14"/>
      <c r="J44" s="1"/>
      <c r="K44" s="1"/>
    </row>
    <row r="45" spans="1:11" ht="15.6" x14ac:dyDescent="0.25">
      <c r="A45" s="1"/>
      <c r="B45" s="117" t="s">
        <v>1728</v>
      </c>
      <c r="C45" s="91"/>
      <c r="D45" s="91"/>
      <c r="E45" s="91"/>
      <c r="F45" s="118"/>
      <c r="G45" s="109"/>
      <c r="H45" s="87"/>
      <c r="I45" s="110"/>
      <c r="J45" s="1"/>
      <c r="K45" s="1"/>
    </row>
    <row r="46" spans="1:11" ht="15.6" x14ac:dyDescent="0.25">
      <c r="A46" s="1"/>
      <c r="B46" s="113" t="s">
        <v>1640</v>
      </c>
      <c r="C46" s="112">
        <v>3</v>
      </c>
      <c r="D46" s="113" t="s">
        <v>1641</v>
      </c>
      <c r="E46" s="178">
        <v>75</v>
      </c>
      <c r="F46" s="114" t="s">
        <v>1729</v>
      </c>
      <c r="G46" s="27">
        <v>918</v>
      </c>
      <c r="H46" s="23" t="s">
        <v>1730</v>
      </c>
      <c r="I46" s="27"/>
      <c r="J46" s="1"/>
      <c r="K46" s="1"/>
    </row>
    <row r="47" spans="1:11" ht="15.6" x14ac:dyDescent="0.25">
      <c r="A47" s="1"/>
      <c r="B47" s="113" t="s">
        <v>1640</v>
      </c>
      <c r="C47" s="112">
        <v>3</v>
      </c>
      <c r="D47" s="111" t="s">
        <v>1644</v>
      </c>
      <c r="E47" s="179"/>
      <c r="F47" s="114" t="s">
        <v>1731</v>
      </c>
      <c r="G47" s="27">
        <v>928</v>
      </c>
      <c r="H47" s="23" t="s">
        <v>1732</v>
      </c>
      <c r="I47" s="27"/>
      <c r="J47" s="1"/>
      <c r="K47" s="1"/>
    </row>
    <row r="48" spans="1:11" ht="15.6" x14ac:dyDescent="0.25">
      <c r="A48" s="1"/>
      <c r="B48" s="113" t="s">
        <v>1647</v>
      </c>
      <c r="C48" s="112">
        <v>6</v>
      </c>
      <c r="D48" s="111" t="s">
        <v>1641</v>
      </c>
      <c r="E48" s="179"/>
      <c r="F48" s="114" t="s">
        <v>1733</v>
      </c>
      <c r="G48" s="27">
        <v>1836</v>
      </c>
      <c r="H48" s="23" t="s">
        <v>1734</v>
      </c>
      <c r="I48" s="27"/>
      <c r="J48" s="1"/>
      <c r="K48" s="1"/>
    </row>
    <row r="49" spans="1:11" ht="15.6" x14ac:dyDescent="0.25">
      <c r="A49" s="1"/>
      <c r="B49" s="113" t="s">
        <v>1647</v>
      </c>
      <c r="C49" s="112">
        <v>6</v>
      </c>
      <c r="D49" s="111" t="s">
        <v>1644</v>
      </c>
      <c r="E49" s="179"/>
      <c r="F49" s="114" t="s">
        <v>1735</v>
      </c>
      <c r="G49" s="27">
        <v>1846</v>
      </c>
      <c r="H49" s="23" t="s">
        <v>1736</v>
      </c>
      <c r="I49" s="27"/>
      <c r="J49" s="1"/>
      <c r="K49" s="1"/>
    </row>
    <row r="50" spans="1:11" ht="15.6" x14ac:dyDescent="0.25">
      <c r="A50" s="1"/>
      <c r="B50" s="113" t="s">
        <v>1652</v>
      </c>
      <c r="C50" s="112">
        <v>0.61</v>
      </c>
      <c r="D50" s="111" t="s">
        <v>1644</v>
      </c>
      <c r="E50" s="179"/>
      <c r="F50" s="114" t="s">
        <v>1737</v>
      </c>
      <c r="G50" s="27">
        <v>248</v>
      </c>
      <c r="H50" s="23" t="s">
        <v>1738</v>
      </c>
      <c r="I50" s="27">
        <v>297</v>
      </c>
      <c r="J50" s="1"/>
      <c r="K50" s="1"/>
    </row>
    <row r="51" spans="1:11" ht="15.6" x14ac:dyDescent="0.25">
      <c r="A51" s="1"/>
      <c r="B51" s="113" t="s">
        <v>1655</v>
      </c>
      <c r="C51" s="112">
        <v>0.92</v>
      </c>
      <c r="D51" s="111" t="s">
        <v>1644</v>
      </c>
      <c r="E51" s="179"/>
      <c r="F51" s="114" t="s">
        <v>1739</v>
      </c>
      <c r="G51" s="27">
        <v>368</v>
      </c>
      <c r="H51" s="23" t="s">
        <v>1740</v>
      </c>
      <c r="I51" s="27">
        <v>414</v>
      </c>
      <c r="J51" s="1"/>
      <c r="K51" s="1"/>
    </row>
    <row r="52" spans="1:11" ht="15.6" x14ac:dyDescent="0.25">
      <c r="A52" s="1"/>
      <c r="B52" s="113" t="s">
        <v>1658</v>
      </c>
      <c r="C52" s="112">
        <v>1.22</v>
      </c>
      <c r="D52" s="111" t="s">
        <v>1644</v>
      </c>
      <c r="E52" s="179"/>
      <c r="F52" s="114" t="s">
        <v>1741</v>
      </c>
      <c r="G52" s="27">
        <v>482</v>
      </c>
      <c r="H52" s="23" t="s">
        <v>1742</v>
      </c>
      <c r="I52" s="27">
        <v>546</v>
      </c>
      <c r="J52" s="1"/>
      <c r="K52" s="1"/>
    </row>
    <row r="53" spans="1:11" ht="15.6" x14ac:dyDescent="0.25">
      <c r="A53" s="1"/>
      <c r="B53" s="113" t="s">
        <v>1661</v>
      </c>
      <c r="C53" s="112">
        <v>1.83</v>
      </c>
      <c r="D53" s="111" t="s">
        <v>1644</v>
      </c>
      <c r="E53" s="179"/>
      <c r="F53" s="114" t="s">
        <v>1743</v>
      </c>
      <c r="G53" s="27">
        <v>712</v>
      </c>
      <c r="H53" s="23" t="s">
        <v>1744</v>
      </c>
      <c r="I53" s="27">
        <v>774</v>
      </c>
      <c r="J53" s="1"/>
      <c r="K53" s="1"/>
    </row>
    <row r="54" spans="1:11" ht="15.6" x14ac:dyDescent="0.25">
      <c r="A54" s="1"/>
      <c r="B54" s="113" t="s">
        <v>1661</v>
      </c>
      <c r="C54" s="112">
        <v>1.83</v>
      </c>
      <c r="D54" s="111" t="s">
        <v>1641</v>
      </c>
      <c r="E54" s="179"/>
      <c r="F54" s="114" t="s">
        <v>1745</v>
      </c>
      <c r="G54" s="27">
        <v>692</v>
      </c>
      <c r="H54" s="23" t="s">
        <v>1746</v>
      </c>
      <c r="I54" s="27"/>
      <c r="J54" s="1"/>
      <c r="K54" s="1"/>
    </row>
    <row r="55" spans="1:11" ht="15.6" x14ac:dyDescent="0.25">
      <c r="A55" s="1"/>
      <c r="B55" s="113" t="s">
        <v>1658</v>
      </c>
      <c r="C55" s="112">
        <v>1.22</v>
      </c>
      <c r="D55" s="111" t="s">
        <v>1641</v>
      </c>
      <c r="E55" s="180"/>
      <c r="F55" s="114" t="s">
        <v>1747</v>
      </c>
      <c r="G55" s="27">
        <v>468</v>
      </c>
      <c r="H55" s="23" t="s">
        <v>1748</v>
      </c>
      <c r="I55" s="27"/>
      <c r="J55" s="1"/>
      <c r="K55" s="1"/>
    </row>
    <row r="56" spans="1:11" ht="15.6" x14ac:dyDescent="0.25">
      <c r="A56" s="1"/>
      <c r="B56" s="113" t="s">
        <v>1640</v>
      </c>
      <c r="C56" s="112">
        <v>3</v>
      </c>
      <c r="D56" s="111" t="s">
        <v>1641</v>
      </c>
      <c r="E56" s="178">
        <v>90</v>
      </c>
      <c r="F56" s="114" t="s">
        <v>1749</v>
      </c>
      <c r="G56" s="27">
        <v>1122</v>
      </c>
      <c r="H56" s="23" t="s">
        <v>1750</v>
      </c>
      <c r="I56" s="27"/>
      <c r="J56" s="1"/>
      <c r="K56" s="1"/>
    </row>
    <row r="57" spans="1:11" ht="15.6" x14ac:dyDescent="0.25">
      <c r="A57" s="1"/>
      <c r="B57" s="113" t="s">
        <v>1640</v>
      </c>
      <c r="C57" s="112">
        <v>3</v>
      </c>
      <c r="D57" s="111" t="s">
        <v>1644</v>
      </c>
      <c r="E57" s="179"/>
      <c r="F57" s="114" t="s">
        <v>1751</v>
      </c>
      <c r="G57" s="27">
        <v>1134</v>
      </c>
      <c r="H57" s="23" t="s">
        <v>1752</v>
      </c>
      <c r="I57" s="27"/>
      <c r="J57" s="1"/>
      <c r="K57" s="1"/>
    </row>
    <row r="58" spans="1:11" ht="15.6" x14ac:dyDescent="0.25">
      <c r="A58" s="1"/>
      <c r="B58" s="113" t="s">
        <v>1647</v>
      </c>
      <c r="C58" s="112">
        <v>6</v>
      </c>
      <c r="D58" s="111" t="s">
        <v>1641</v>
      </c>
      <c r="E58" s="179"/>
      <c r="F58" s="114" t="s">
        <v>1753</v>
      </c>
      <c r="G58" s="27">
        <v>2244</v>
      </c>
      <c r="H58" s="23" t="s">
        <v>1754</v>
      </c>
      <c r="I58" s="27"/>
      <c r="J58" s="1"/>
      <c r="K58" s="1"/>
    </row>
    <row r="59" spans="1:11" ht="15.6" x14ac:dyDescent="0.25">
      <c r="A59" s="1"/>
      <c r="B59" s="113" t="s">
        <v>1647</v>
      </c>
      <c r="C59" s="112">
        <v>6</v>
      </c>
      <c r="D59" s="111" t="s">
        <v>1644</v>
      </c>
      <c r="E59" s="179"/>
      <c r="F59" s="114" t="s">
        <v>1755</v>
      </c>
      <c r="G59" s="27">
        <v>2256</v>
      </c>
      <c r="H59" s="23" t="s">
        <v>1756</v>
      </c>
      <c r="I59" s="27"/>
      <c r="J59" s="1"/>
      <c r="K59" s="1"/>
    </row>
    <row r="60" spans="1:11" ht="15.6" x14ac:dyDescent="0.25">
      <c r="A60" s="1"/>
      <c r="B60" s="113" t="s">
        <v>1652</v>
      </c>
      <c r="C60" s="112">
        <v>0.61</v>
      </c>
      <c r="D60" s="111" t="s">
        <v>1644</v>
      </c>
      <c r="E60" s="179"/>
      <c r="F60" s="114" t="s">
        <v>1757</v>
      </c>
      <c r="G60" s="27">
        <v>298</v>
      </c>
      <c r="H60" s="23" t="s">
        <v>1758</v>
      </c>
      <c r="I60" s="27">
        <v>312</v>
      </c>
      <c r="J60" s="1"/>
      <c r="K60" s="1"/>
    </row>
    <row r="61" spans="1:11" ht="15.6" x14ac:dyDescent="0.25">
      <c r="A61" s="1"/>
      <c r="B61" s="113" t="s">
        <v>1655</v>
      </c>
      <c r="C61" s="112">
        <v>0.92</v>
      </c>
      <c r="D61" s="111" t="s">
        <v>1644</v>
      </c>
      <c r="E61" s="179"/>
      <c r="F61" s="114" t="s">
        <v>1759</v>
      </c>
      <c r="G61" s="27">
        <v>444</v>
      </c>
      <c r="H61" s="23" t="s">
        <v>1761</v>
      </c>
      <c r="I61" s="27">
        <v>482</v>
      </c>
      <c r="J61" s="1"/>
      <c r="K61" s="1"/>
    </row>
    <row r="62" spans="1:11" ht="15.6" x14ac:dyDescent="0.25">
      <c r="A62" s="1"/>
      <c r="B62" s="113" t="s">
        <v>1658</v>
      </c>
      <c r="C62" s="112">
        <v>1.22</v>
      </c>
      <c r="D62" s="111" t="s">
        <v>1644</v>
      </c>
      <c r="E62" s="179"/>
      <c r="F62" s="114" t="s">
        <v>1762</v>
      </c>
      <c r="G62" s="27">
        <v>584</v>
      </c>
      <c r="H62" s="23" t="s">
        <v>1763</v>
      </c>
      <c r="I62" s="27">
        <v>617</v>
      </c>
      <c r="J62" s="1"/>
      <c r="K62" s="1"/>
    </row>
    <row r="63" spans="1:11" ht="15.6" x14ac:dyDescent="0.25">
      <c r="A63" s="1"/>
      <c r="B63" s="113" t="s">
        <v>1661</v>
      </c>
      <c r="C63" s="112">
        <v>1.83</v>
      </c>
      <c r="D63" s="111" t="s">
        <v>1644</v>
      </c>
      <c r="E63" s="179"/>
      <c r="F63" s="114" t="s">
        <v>1764</v>
      </c>
      <c r="G63" s="27">
        <v>858</v>
      </c>
      <c r="H63" s="23" t="s">
        <v>1765</v>
      </c>
      <c r="I63" s="27">
        <v>905</v>
      </c>
      <c r="J63" s="1"/>
      <c r="K63" s="1"/>
    </row>
    <row r="64" spans="1:11" ht="15.6" x14ac:dyDescent="0.25">
      <c r="A64" s="1"/>
      <c r="B64" s="113" t="s">
        <v>1661</v>
      </c>
      <c r="C64" s="112">
        <v>1.83</v>
      </c>
      <c r="D64" s="111" t="s">
        <v>1641</v>
      </c>
      <c r="E64" s="179"/>
      <c r="F64" s="114" t="s">
        <v>1766</v>
      </c>
      <c r="G64" s="27">
        <v>840</v>
      </c>
      <c r="H64" s="23" t="s">
        <v>1767</v>
      </c>
      <c r="I64" s="27"/>
      <c r="J64" s="1"/>
      <c r="K64" s="1"/>
    </row>
    <row r="65" spans="1:11" ht="15.6" x14ac:dyDescent="0.25">
      <c r="A65" s="1"/>
      <c r="B65" s="113" t="s">
        <v>1658</v>
      </c>
      <c r="C65" s="112">
        <v>1.22</v>
      </c>
      <c r="D65" s="111" t="s">
        <v>1641</v>
      </c>
      <c r="E65" s="180"/>
      <c r="F65" s="114" t="s">
        <v>1768</v>
      </c>
      <c r="G65" s="27">
        <v>568</v>
      </c>
      <c r="H65" s="23" t="s">
        <v>1770</v>
      </c>
      <c r="I65" s="27"/>
      <c r="J65" s="1"/>
      <c r="K65" s="1"/>
    </row>
    <row r="66" spans="1:11" ht="15.6" x14ac:dyDescent="0.25">
      <c r="A66" s="1"/>
      <c r="B66" s="113" t="s">
        <v>1640</v>
      </c>
      <c r="C66" s="112">
        <v>3</v>
      </c>
      <c r="D66" s="111" t="s">
        <v>1641</v>
      </c>
      <c r="E66" s="178">
        <v>110</v>
      </c>
      <c r="F66" s="114" t="s">
        <v>1771</v>
      </c>
      <c r="G66" s="27">
        <v>1398</v>
      </c>
      <c r="H66" s="23" t="s">
        <v>1772</v>
      </c>
      <c r="I66" s="27"/>
      <c r="J66" s="1"/>
      <c r="K66" s="1"/>
    </row>
    <row r="67" spans="1:11" ht="15.6" x14ac:dyDescent="0.25">
      <c r="A67" s="1"/>
      <c r="B67" s="113" t="s">
        <v>1640</v>
      </c>
      <c r="C67" s="112">
        <v>3</v>
      </c>
      <c r="D67" s="111" t="s">
        <v>1644</v>
      </c>
      <c r="E67" s="179"/>
      <c r="F67" s="114" t="s">
        <v>1773</v>
      </c>
      <c r="G67" s="27">
        <v>1414</v>
      </c>
      <c r="H67" s="23" t="s">
        <v>1774</v>
      </c>
      <c r="I67" s="27"/>
      <c r="J67" s="1"/>
      <c r="K67" s="1"/>
    </row>
    <row r="68" spans="1:11" ht="15.6" x14ac:dyDescent="0.25">
      <c r="A68" s="1"/>
      <c r="B68" s="113" t="s">
        <v>1647</v>
      </c>
      <c r="C68" s="112">
        <v>6</v>
      </c>
      <c r="D68" s="111" t="s">
        <v>1641</v>
      </c>
      <c r="E68" s="179"/>
      <c r="F68" s="114" t="s">
        <v>1775</v>
      </c>
      <c r="G68" s="27">
        <v>2798</v>
      </c>
      <c r="H68" s="23" t="s">
        <v>1776</v>
      </c>
      <c r="I68" s="27"/>
      <c r="J68" s="1"/>
      <c r="K68" s="1"/>
    </row>
    <row r="69" spans="1:11" ht="15.6" x14ac:dyDescent="0.25">
      <c r="A69" s="1"/>
      <c r="B69" s="113" t="s">
        <v>1647</v>
      </c>
      <c r="C69" s="112">
        <v>6</v>
      </c>
      <c r="D69" s="111" t="s">
        <v>1644</v>
      </c>
      <c r="E69" s="179"/>
      <c r="F69" s="114" t="s">
        <v>1778</v>
      </c>
      <c r="G69" s="27">
        <v>2812</v>
      </c>
      <c r="H69" s="23" t="s">
        <v>1779</v>
      </c>
      <c r="I69" s="27"/>
      <c r="J69" s="1"/>
      <c r="K69" s="1"/>
    </row>
    <row r="70" spans="1:11" ht="15.6" x14ac:dyDescent="0.25">
      <c r="A70" s="1"/>
      <c r="B70" s="113" t="s">
        <v>1652</v>
      </c>
      <c r="C70" s="112">
        <v>0.61</v>
      </c>
      <c r="D70" s="111" t="s">
        <v>1644</v>
      </c>
      <c r="E70" s="179"/>
      <c r="F70" s="114" t="s">
        <v>1780</v>
      </c>
      <c r="G70" s="27">
        <v>378</v>
      </c>
      <c r="H70" s="23" t="s">
        <v>1781</v>
      </c>
      <c r="I70" s="27">
        <v>410</v>
      </c>
      <c r="J70" s="1"/>
      <c r="K70" s="1"/>
    </row>
    <row r="71" spans="1:11" ht="15.6" x14ac:dyDescent="0.25">
      <c r="A71" s="1"/>
      <c r="B71" s="113" t="s">
        <v>1655</v>
      </c>
      <c r="C71" s="112">
        <v>0.92</v>
      </c>
      <c r="D71" s="111" t="s">
        <v>1644</v>
      </c>
      <c r="E71" s="179"/>
      <c r="F71" s="114" t="s">
        <v>1782</v>
      </c>
      <c r="G71" s="27">
        <v>536</v>
      </c>
      <c r="H71" s="23" t="s">
        <v>1784</v>
      </c>
      <c r="I71" s="27">
        <v>590</v>
      </c>
      <c r="J71" s="1"/>
      <c r="K71" s="1"/>
    </row>
    <row r="72" spans="1:11" ht="15.6" x14ac:dyDescent="0.25">
      <c r="A72" s="1"/>
      <c r="B72" s="113" t="s">
        <v>1658</v>
      </c>
      <c r="C72" s="112">
        <v>1.22</v>
      </c>
      <c r="D72" s="111" t="s">
        <v>1644</v>
      </c>
      <c r="E72" s="179"/>
      <c r="F72" s="114" t="s">
        <v>1785</v>
      </c>
      <c r="G72" s="27">
        <v>724</v>
      </c>
      <c r="H72" s="23" t="s">
        <v>1786</v>
      </c>
      <c r="I72" s="27">
        <v>774</v>
      </c>
      <c r="J72" s="1"/>
      <c r="K72" s="1"/>
    </row>
    <row r="73" spans="1:11" ht="15.6" x14ac:dyDescent="0.25">
      <c r="A73" s="1"/>
      <c r="B73" s="113" t="s">
        <v>1661</v>
      </c>
      <c r="C73" s="112">
        <v>1.83</v>
      </c>
      <c r="D73" s="111" t="s">
        <v>1644</v>
      </c>
      <c r="E73" s="179"/>
      <c r="F73" s="114" t="s">
        <v>1787</v>
      </c>
      <c r="G73" s="27">
        <v>1058</v>
      </c>
      <c r="H73" s="23" t="s">
        <v>1789</v>
      </c>
      <c r="I73" s="27">
        <v>1155</v>
      </c>
      <c r="J73" s="1"/>
      <c r="K73" s="1"/>
    </row>
    <row r="74" spans="1:11" ht="15.6" x14ac:dyDescent="0.25">
      <c r="A74" s="1"/>
      <c r="B74" s="113" t="s">
        <v>1661</v>
      </c>
      <c r="C74" s="112">
        <v>1.83</v>
      </c>
      <c r="D74" s="111" t="s">
        <v>1641</v>
      </c>
      <c r="E74" s="179"/>
      <c r="F74" s="114" t="s">
        <v>1790</v>
      </c>
      <c r="G74" s="27">
        <v>1038</v>
      </c>
      <c r="H74" s="23" t="s">
        <v>1792</v>
      </c>
      <c r="I74" s="27"/>
      <c r="J74" s="1"/>
      <c r="K74" s="1"/>
    </row>
    <row r="75" spans="1:11" ht="15.6" x14ac:dyDescent="0.25">
      <c r="A75" s="1"/>
      <c r="B75" s="113" t="s">
        <v>1658</v>
      </c>
      <c r="C75" s="112">
        <v>1.22</v>
      </c>
      <c r="D75" s="111" t="s">
        <v>1641</v>
      </c>
      <c r="E75" s="180"/>
      <c r="F75" s="114" t="s">
        <v>1793</v>
      </c>
      <c r="G75" s="27">
        <v>708</v>
      </c>
      <c r="H75" s="23" t="s">
        <v>1794</v>
      </c>
      <c r="I75" s="27"/>
      <c r="J75" s="1"/>
      <c r="K75" s="1"/>
    </row>
    <row r="76" spans="1:11" ht="15.6" x14ac:dyDescent="0.25">
      <c r="A76" s="1"/>
      <c r="B76" s="113" t="s">
        <v>1640</v>
      </c>
      <c r="C76" s="112">
        <v>3</v>
      </c>
      <c r="D76" s="111" t="s">
        <v>1641</v>
      </c>
      <c r="E76" s="178">
        <v>160</v>
      </c>
      <c r="F76" s="114" t="s">
        <v>1796</v>
      </c>
      <c r="G76" s="27">
        <v>2498</v>
      </c>
      <c r="H76" s="23" t="s">
        <v>1798</v>
      </c>
      <c r="I76" s="27"/>
      <c r="J76" s="1"/>
      <c r="K76" s="1"/>
    </row>
    <row r="77" spans="1:11" ht="15.6" x14ac:dyDescent="0.25">
      <c r="A77" s="1"/>
      <c r="B77" s="113" t="s">
        <v>1640</v>
      </c>
      <c r="C77" s="112">
        <v>3</v>
      </c>
      <c r="D77" s="111" t="s">
        <v>1644</v>
      </c>
      <c r="E77" s="179"/>
      <c r="F77" s="114" t="s">
        <v>1799</v>
      </c>
      <c r="G77" s="27">
        <v>2524</v>
      </c>
      <c r="H77" s="23" t="s">
        <v>1801</v>
      </c>
      <c r="I77" s="27"/>
      <c r="J77" s="1"/>
      <c r="K77" s="1"/>
    </row>
    <row r="78" spans="1:11" ht="15.6" x14ac:dyDescent="0.25">
      <c r="A78" s="1"/>
      <c r="B78" s="113" t="s">
        <v>1647</v>
      </c>
      <c r="C78" s="112">
        <v>6</v>
      </c>
      <c r="D78" s="111" t="s">
        <v>1641</v>
      </c>
      <c r="E78" s="179"/>
      <c r="F78" s="114" t="s">
        <v>1802</v>
      </c>
      <c r="G78" s="27">
        <v>4996</v>
      </c>
      <c r="H78" s="23" t="s">
        <v>1804</v>
      </c>
      <c r="I78" s="27"/>
      <c r="J78" s="1"/>
      <c r="K78" s="1"/>
    </row>
    <row r="79" spans="1:11" ht="15.6" x14ac:dyDescent="0.25">
      <c r="A79" s="1"/>
      <c r="B79" s="113" t="s">
        <v>1647</v>
      </c>
      <c r="C79" s="112">
        <v>6</v>
      </c>
      <c r="D79" s="111" t="s">
        <v>1644</v>
      </c>
      <c r="E79" s="179"/>
      <c r="F79" s="114" t="s">
        <v>1805</v>
      </c>
      <c r="G79" s="27">
        <v>5020</v>
      </c>
      <c r="H79" s="23" t="s">
        <v>1806</v>
      </c>
      <c r="I79" s="27"/>
      <c r="J79" s="1"/>
      <c r="K79" s="1"/>
    </row>
    <row r="80" spans="1:11" ht="15.6" x14ac:dyDescent="0.25">
      <c r="A80" s="1"/>
      <c r="B80" s="113" t="s">
        <v>1652</v>
      </c>
      <c r="C80" s="112">
        <v>0.61</v>
      </c>
      <c r="D80" s="111" t="s">
        <v>1644</v>
      </c>
      <c r="E80" s="179"/>
      <c r="F80" s="114" t="s">
        <v>1807</v>
      </c>
      <c r="G80" s="27">
        <v>692</v>
      </c>
      <c r="H80" s="23" t="s">
        <v>1808</v>
      </c>
      <c r="I80" s="27"/>
      <c r="J80" s="1"/>
      <c r="K80" s="1"/>
    </row>
    <row r="81" spans="1:11" ht="15.6" x14ac:dyDescent="0.25">
      <c r="A81" s="1"/>
      <c r="B81" s="113" t="s">
        <v>1655</v>
      </c>
      <c r="C81" s="112">
        <v>0.92</v>
      </c>
      <c r="D81" s="111" t="s">
        <v>1644</v>
      </c>
      <c r="E81" s="179"/>
      <c r="F81" s="114" t="s">
        <v>1809</v>
      </c>
      <c r="G81" s="27">
        <v>998</v>
      </c>
      <c r="H81" s="23" t="s">
        <v>1810</v>
      </c>
      <c r="I81" s="27"/>
      <c r="J81" s="1"/>
      <c r="K81" s="1"/>
    </row>
    <row r="82" spans="1:11" ht="15.6" x14ac:dyDescent="0.25">
      <c r="A82" s="1"/>
      <c r="B82" s="113" t="s">
        <v>1658</v>
      </c>
      <c r="C82" s="112">
        <v>1.22</v>
      </c>
      <c r="D82" s="111" t="s">
        <v>1644</v>
      </c>
      <c r="E82" s="179"/>
      <c r="F82" s="114" t="s">
        <v>1812</v>
      </c>
      <c r="G82" s="27">
        <v>1298</v>
      </c>
      <c r="H82" s="23" t="s">
        <v>1813</v>
      </c>
      <c r="I82" s="27"/>
      <c r="J82" s="1"/>
      <c r="K82" s="1"/>
    </row>
    <row r="83" spans="1:11" ht="15.6" x14ac:dyDescent="0.25">
      <c r="A83" s="1"/>
      <c r="B83" s="113" t="s">
        <v>1661</v>
      </c>
      <c r="C83" s="112">
        <v>1.83</v>
      </c>
      <c r="D83" s="111" t="s">
        <v>1644</v>
      </c>
      <c r="E83" s="179"/>
      <c r="F83" s="114" t="s">
        <v>1814</v>
      </c>
      <c r="G83" s="27">
        <v>1884</v>
      </c>
      <c r="H83" s="23" t="s">
        <v>1815</v>
      </c>
      <c r="I83" s="27"/>
      <c r="J83" s="1"/>
      <c r="K83" s="1"/>
    </row>
    <row r="84" spans="1:11" ht="15.6" x14ac:dyDescent="0.25">
      <c r="A84" s="1"/>
      <c r="B84" s="113" t="s">
        <v>1661</v>
      </c>
      <c r="C84" s="112">
        <v>1.83</v>
      </c>
      <c r="D84" s="111" t="s">
        <v>1641</v>
      </c>
      <c r="E84" s="179"/>
      <c r="F84" s="114" t="s">
        <v>1816</v>
      </c>
      <c r="G84" s="27">
        <v>1860</v>
      </c>
      <c r="H84" s="23" t="s">
        <v>1818</v>
      </c>
      <c r="I84" s="27"/>
      <c r="J84" s="1"/>
      <c r="K84" s="1"/>
    </row>
    <row r="85" spans="1:11" ht="15.6" x14ac:dyDescent="0.25">
      <c r="A85" s="1"/>
      <c r="B85" s="113" t="s">
        <v>1658</v>
      </c>
      <c r="C85" s="112">
        <v>1.22</v>
      </c>
      <c r="D85" s="111" t="s">
        <v>1641</v>
      </c>
      <c r="E85" s="180"/>
      <c r="F85" s="114" t="s">
        <v>1819</v>
      </c>
      <c r="G85" s="27">
        <v>1264</v>
      </c>
      <c r="H85" s="23" t="s">
        <v>1821</v>
      </c>
      <c r="I85" s="27"/>
      <c r="J85" s="1"/>
      <c r="K85" s="1"/>
    </row>
    <row r="86" spans="1:11" ht="13.2" x14ac:dyDescent="0.25">
      <c r="A86" s="1"/>
      <c r="B86" s="34"/>
      <c r="C86" s="34"/>
      <c r="D86" s="34"/>
      <c r="E86" s="34"/>
      <c r="F86" s="34"/>
      <c r="G86" s="116"/>
      <c r="H86" s="34"/>
      <c r="I86" s="14"/>
      <c r="J86" s="1"/>
      <c r="K86" s="1"/>
    </row>
    <row r="87" spans="1:11" ht="15.6" x14ac:dyDescent="0.25">
      <c r="A87" s="1"/>
      <c r="B87" s="117" t="s">
        <v>1822</v>
      </c>
      <c r="C87" s="91"/>
      <c r="D87" s="91"/>
      <c r="E87" s="91"/>
      <c r="F87" s="118"/>
      <c r="G87" s="109"/>
      <c r="H87" s="87"/>
      <c r="I87" s="110"/>
      <c r="J87" s="1"/>
      <c r="K87" s="1"/>
    </row>
    <row r="88" spans="1:11" ht="15.6" x14ac:dyDescent="0.25">
      <c r="A88" s="1"/>
      <c r="B88" s="113" t="s">
        <v>1640</v>
      </c>
      <c r="C88" s="112">
        <v>3</v>
      </c>
      <c r="D88" s="124" t="s">
        <v>1641</v>
      </c>
      <c r="E88" s="175">
        <v>75</v>
      </c>
      <c r="F88" s="114" t="s">
        <v>1827</v>
      </c>
      <c r="G88" s="27">
        <v>566</v>
      </c>
      <c r="H88" s="23"/>
      <c r="I88" s="27"/>
      <c r="J88" s="1"/>
      <c r="K88" s="1"/>
    </row>
    <row r="89" spans="1:11" ht="15.6" x14ac:dyDescent="0.25">
      <c r="A89" s="1"/>
      <c r="B89" s="111" t="s">
        <v>1640</v>
      </c>
      <c r="C89" s="112">
        <v>3</v>
      </c>
      <c r="D89" s="112" t="s">
        <v>1644</v>
      </c>
      <c r="E89" s="176"/>
      <c r="F89" s="114" t="s">
        <v>1828</v>
      </c>
      <c r="G89" s="27">
        <v>572</v>
      </c>
      <c r="H89" s="114"/>
      <c r="I89" s="27"/>
      <c r="J89" s="1"/>
      <c r="K89" s="1"/>
    </row>
    <row r="90" spans="1:11" ht="15.6" x14ac:dyDescent="0.25">
      <c r="A90" s="1"/>
      <c r="B90" s="111" t="s">
        <v>1647</v>
      </c>
      <c r="C90" s="112">
        <v>6</v>
      </c>
      <c r="D90" s="112" t="s">
        <v>1641</v>
      </c>
      <c r="E90" s="176"/>
      <c r="F90" s="114" t="s">
        <v>1831</v>
      </c>
      <c r="G90" s="27">
        <v>1132</v>
      </c>
      <c r="H90" s="114"/>
      <c r="I90" s="27"/>
      <c r="J90" s="1"/>
      <c r="K90" s="1"/>
    </row>
    <row r="91" spans="1:11" ht="15.6" x14ac:dyDescent="0.25">
      <c r="A91" s="1"/>
      <c r="B91" s="111" t="s">
        <v>1647</v>
      </c>
      <c r="C91" s="112">
        <v>6</v>
      </c>
      <c r="D91" s="112" t="s">
        <v>1644</v>
      </c>
      <c r="E91" s="176"/>
      <c r="F91" s="114" t="s">
        <v>1832</v>
      </c>
      <c r="G91" s="27">
        <v>1138</v>
      </c>
      <c r="H91" s="114"/>
      <c r="I91" s="27"/>
      <c r="J91" s="1"/>
      <c r="K91" s="1"/>
    </row>
    <row r="92" spans="1:11" ht="15.6" x14ac:dyDescent="0.25">
      <c r="A92" s="1"/>
      <c r="B92" s="111" t="s">
        <v>1652</v>
      </c>
      <c r="C92" s="112">
        <v>0.61</v>
      </c>
      <c r="D92" s="112" t="s">
        <v>1644</v>
      </c>
      <c r="E92" s="176"/>
      <c r="F92" s="114" t="s">
        <v>1833</v>
      </c>
      <c r="G92" s="27">
        <v>131</v>
      </c>
      <c r="H92" s="114"/>
      <c r="I92" s="27"/>
      <c r="J92" s="1"/>
      <c r="K92" s="1"/>
    </row>
    <row r="93" spans="1:11" ht="15.6" x14ac:dyDescent="0.25">
      <c r="A93" s="1"/>
      <c r="B93" s="111" t="s">
        <v>1655</v>
      </c>
      <c r="C93" s="112">
        <v>0.92</v>
      </c>
      <c r="D93" s="112" t="s">
        <v>1644</v>
      </c>
      <c r="E93" s="176"/>
      <c r="F93" s="114" t="s">
        <v>1834</v>
      </c>
      <c r="G93" s="27">
        <v>191</v>
      </c>
      <c r="H93" s="114"/>
      <c r="I93" s="27"/>
      <c r="J93" s="1"/>
      <c r="K93" s="1"/>
    </row>
    <row r="94" spans="1:11" ht="15.6" x14ac:dyDescent="0.25">
      <c r="A94" s="1"/>
      <c r="B94" s="111" t="s">
        <v>1658</v>
      </c>
      <c r="C94" s="112">
        <v>1.22</v>
      </c>
      <c r="D94" s="112" t="s">
        <v>1644</v>
      </c>
      <c r="E94" s="176"/>
      <c r="F94" s="114" t="s">
        <v>1836</v>
      </c>
      <c r="G94" s="27">
        <v>251</v>
      </c>
      <c r="H94" s="114"/>
      <c r="I94" s="27"/>
      <c r="J94" s="1"/>
      <c r="K94" s="1"/>
    </row>
    <row r="95" spans="1:11" ht="15.6" x14ac:dyDescent="0.25">
      <c r="A95" s="1"/>
      <c r="B95" s="111" t="s">
        <v>1661</v>
      </c>
      <c r="C95" s="112">
        <v>1.83</v>
      </c>
      <c r="D95" s="112" t="s">
        <v>1644</v>
      </c>
      <c r="E95" s="176"/>
      <c r="F95" s="114" t="s">
        <v>1837</v>
      </c>
      <c r="G95" s="27">
        <v>372</v>
      </c>
      <c r="H95" s="114"/>
      <c r="I95" s="27"/>
      <c r="J95" s="1"/>
      <c r="K95" s="1"/>
    </row>
    <row r="96" spans="1:11" ht="15.6" x14ac:dyDescent="0.25">
      <c r="A96" s="1"/>
      <c r="B96" s="111" t="s">
        <v>1661</v>
      </c>
      <c r="C96" s="112">
        <v>1.83</v>
      </c>
      <c r="D96" s="112" t="s">
        <v>1641</v>
      </c>
      <c r="E96" s="176"/>
      <c r="F96" s="114" t="s">
        <v>1839</v>
      </c>
      <c r="G96" s="27">
        <v>368</v>
      </c>
      <c r="H96" s="114"/>
      <c r="I96" s="27"/>
      <c r="J96" s="1"/>
      <c r="K96" s="1"/>
    </row>
    <row r="97" spans="1:11" ht="15.6" x14ac:dyDescent="0.25">
      <c r="A97" s="1"/>
      <c r="B97" s="111" t="s">
        <v>1658</v>
      </c>
      <c r="C97" s="112">
        <v>1.22</v>
      </c>
      <c r="D97" s="112" t="s">
        <v>1641</v>
      </c>
      <c r="E97" s="173"/>
      <c r="F97" s="114" t="s">
        <v>1840</v>
      </c>
      <c r="G97" s="27">
        <v>246</v>
      </c>
      <c r="H97" s="115"/>
      <c r="I97" s="27"/>
      <c r="J97" s="1"/>
      <c r="K97" s="1"/>
    </row>
    <row r="98" spans="1:11" ht="15.6" x14ac:dyDescent="0.25">
      <c r="A98" s="1"/>
      <c r="B98" s="111" t="s">
        <v>1640</v>
      </c>
      <c r="C98" s="112">
        <v>3</v>
      </c>
      <c r="D98" s="112" t="s">
        <v>1641</v>
      </c>
      <c r="E98" s="177">
        <v>90</v>
      </c>
      <c r="F98" s="114" t="s">
        <v>1842</v>
      </c>
      <c r="G98" s="27">
        <v>688</v>
      </c>
      <c r="H98" s="114"/>
      <c r="I98" s="27"/>
      <c r="J98" s="1"/>
      <c r="K98" s="1"/>
    </row>
    <row r="99" spans="1:11" ht="15.6" x14ac:dyDescent="0.25">
      <c r="A99" s="1"/>
      <c r="B99" s="111" t="s">
        <v>1640</v>
      </c>
      <c r="C99" s="112">
        <v>3</v>
      </c>
      <c r="D99" s="112" t="s">
        <v>1644</v>
      </c>
      <c r="E99" s="176"/>
      <c r="F99" s="114" t="s">
        <v>1843</v>
      </c>
      <c r="G99" s="27">
        <v>694</v>
      </c>
      <c r="H99" s="114"/>
      <c r="I99" s="27"/>
      <c r="J99" s="1"/>
      <c r="K99" s="1"/>
    </row>
    <row r="100" spans="1:11" ht="15.6" x14ac:dyDescent="0.25">
      <c r="A100" s="1"/>
      <c r="B100" s="111" t="s">
        <v>1647</v>
      </c>
      <c r="C100" s="112">
        <v>6</v>
      </c>
      <c r="D100" s="112" t="s">
        <v>1641</v>
      </c>
      <c r="E100" s="176"/>
      <c r="F100" s="114" t="s">
        <v>1845</v>
      </c>
      <c r="G100" s="27">
        <v>1376</v>
      </c>
      <c r="H100" s="114"/>
      <c r="I100" s="27"/>
      <c r="J100" s="1"/>
      <c r="K100" s="1"/>
    </row>
    <row r="101" spans="1:11" ht="15.6" x14ac:dyDescent="0.25">
      <c r="A101" s="1"/>
      <c r="B101" s="111" t="s">
        <v>1647</v>
      </c>
      <c r="C101" s="112">
        <v>6</v>
      </c>
      <c r="D101" s="112" t="s">
        <v>1644</v>
      </c>
      <c r="E101" s="176"/>
      <c r="F101" s="114" t="s">
        <v>1846</v>
      </c>
      <c r="G101" s="27">
        <v>1382</v>
      </c>
      <c r="H101" s="114"/>
      <c r="I101" s="27"/>
      <c r="J101" s="1"/>
      <c r="K101" s="1"/>
    </row>
    <row r="102" spans="1:11" ht="15.6" x14ac:dyDescent="0.25">
      <c r="A102" s="1"/>
      <c r="B102" s="111" t="s">
        <v>1652</v>
      </c>
      <c r="C102" s="112">
        <v>0.61</v>
      </c>
      <c r="D102" s="112" t="s">
        <v>1644</v>
      </c>
      <c r="E102" s="176"/>
      <c r="F102" s="114" t="s">
        <v>1847</v>
      </c>
      <c r="G102" s="27">
        <v>167</v>
      </c>
      <c r="H102" s="114"/>
      <c r="I102" s="27"/>
      <c r="J102" s="1"/>
      <c r="K102" s="1"/>
    </row>
    <row r="103" spans="1:11" ht="15.6" x14ac:dyDescent="0.25">
      <c r="A103" s="1"/>
      <c r="B103" s="111" t="s">
        <v>1655</v>
      </c>
      <c r="C103" s="112">
        <v>0.92</v>
      </c>
      <c r="D103" s="112" t="s">
        <v>1644</v>
      </c>
      <c r="E103" s="176"/>
      <c r="F103" s="114" t="s">
        <v>1849</v>
      </c>
      <c r="G103" s="27">
        <v>243</v>
      </c>
      <c r="H103" s="114"/>
      <c r="I103" s="27"/>
      <c r="J103" s="1"/>
      <c r="K103" s="1"/>
    </row>
    <row r="104" spans="1:11" ht="15.6" x14ac:dyDescent="0.25">
      <c r="A104" s="1"/>
      <c r="B104" s="111" t="s">
        <v>1658</v>
      </c>
      <c r="C104" s="112">
        <v>1.22</v>
      </c>
      <c r="D104" s="112" t="s">
        <v>1644</v>
      </c>
      <c r="E104" s="176"/>
      <c r="F104" s="114" t="s">
        <v>1850</v>
      </c>
      <c r="G104" s="27">
        <v>318</v>
      </c>
      <c r="H104" s="114"/>
      <c r="I104" s="27"/>
      <c r="J104" s="1"/>
      <c r="K104" s="1"/>
    </row>
    <row r="105" spans="1:11" ht="15.6" x14ac:dyDescent="0.25">
      <c r="A105" s="1"/>
      <c r="B105" s="111" t="s">
        <v>1661</v>
      </c>
      <c r="C105" s="112">
        <v>1.83</v>
      </c>
      <c r="D105" s="112" t="s">
        <v>1644</v>
      </c>
      <c r="E105" s="176"/>
      <c r="F105" s="114" t="s">
        <v>1852</v>
      </c>
      <c r="G105" s="27">
        <v>472</v>
      </c>
      <c r="H105" s="114"/>
      <c r="I105" s="27"/>
      <c r="J105" s="1"/>
      <c r="K105" s="1"/>
    </row>
    <row r="106" spans="1:11" ht="15.6" x14ac:dyDescent="0.25">
      <c r="A106" s="1"/>
      <c r="B106" s="111" t="s">
        <v>1661</v>
      </c>
      <c r="C106" s="112">
        <v>1.83</v>
      </c>
      <c r="D106" s="112" t="s">
        <v>1641</v>
      </c>
      <c r="E106" s="176"/>
      <c r="F106" s="114" t="s">
        <v>1853</v>
      </c>
      <c r="G106" s="27">
        <v>466</v>
      </c>
      <c r="H106" s="114"/>
      <c r="I106" s="27"/>
      <c r="J106" s="1"/>
      <c r="K106" s="1"/>
    </row>
    <row r="107" spans="1:11" ht="15.6" x14ac:dyDescent="0.25">
      <c r="A107" s="1"/>
      <c r="B107" s="111" t="s">
        <v>1658</v>
      </c>
      <c r="C107" s="112">
        <v>1.22</v>
      </c>
      <c r="D107" s="112" t="s">
        <v>1641</v>
      </c>
      <c r="E107" s="173"/>
      <c r="F107" s="114" t="s">
        <v>1854</v>
      </c>
      <c r="G107" s="27">
        <v>312</v>
      </c>
      <c r="H107" s="115"/>
      <c r="I107" s="27"/>
      <c r="J107" s="1"/>
      <c r="K107" s="1"/>
    </row>
    <row r="108" spans="1:11" ht="15.6" x14ac:dyDescent="0.25">
      <c r="A108" s="1"/>
      <c r="B108" s="111" t="s">
        <v>1640</v>
      </c>
      <c r="C108" s="112">
        <v>3</v>
      </c>
      <c r="D108" s="112" t="s">
        <v>1641</v>
      </c>
      <c r="E108" s="177">
        <v>110</v>
      </c>
      <c r="F108" s="114" t="s">
        <v>1856</v>
      </c>
      <c r="G108" s="27">
        <v>966</v>
      </c>
      <c r="H108" s="114"/>
      <c r="I108" s="27"/>
      <c r="J108" s="1"/>
      <c r="K108" s="1"/>
    </row>
    <row r="109" spans="1:11" ht="15.6" x14ac:dyDescent="0.25">
      <c r="A109" s="1"/>
      <c r="B109" s="111" t="s">
        <v>1640</v>
      </c>
      <c r="C109" s="112">
        <v>3</v>
      </c>
      <c r="D109" s="112" t="s">
        <v>1644</v>
      </c>
      <c r="E109" s="176"/>
      <c r="F109" s="114" t="s">
        <v>1858</v>
      </c>
      <c r="G109" s="27">
        <v>972</v>
      </c>
      <c r="H109" s="114"/>
      <c r="I109" s="27"/>
      <c r="J109" s="1"/>
      <c r="K109" s="1"/>
    </row>
    <row r="110" spans="1:11" ht="15.6" x14ac:dyDescent="0.25">
      <c r="A110" s="1"/>
      <c r="B110" s="111" t="s">
        <v>1647</v>
      </c>
      <c r="C110" s="112">
        <v>6</v>
      </c>
      <c r="D110" s="112" t="s">
        <v>1641</v>
      </c>
      <c r="E110" s="176"/>
      <c r="F110" s="114" t="s">
        <v>1859</v>
      </c>
      <c r="G110" s="27">
        <v>1932</v>
      </c>
      <c r="H110" s="114"/>
      <c r="I110" s="27"/>
      <c r="J110" s="1"/>
      <c r="K110" s="1"/>
    </row>
    <row r="111" spans="1:11" ht="15.6" x14ac:dyDescent="0.25">
      <c r="A111" s="1"/>
      <c r="B111" s="111" t="s">
        <v>1647</v>
      </c>
      <c r="C111" s="112">
        <v>6</v>
      </c>
      <c r="D111" s="112" t="s">
        <v>1644</v>
      </c>
      <c r="E111" s="176"/>
      <c r="F111" s="114" t="s">
        <v>1860</v>
      </c>
      <c r="G111" s="27">
        <v>1938</v>
      </c>
      <c r="H111" s="114"/>
      <c r="I111" s="27"/>
      <c r="J111" s="1"/>
      <c r="K111" s="1"/>
    </row>
    <row r="112" spans="1:11" ht="15.6" x14ac:dyDescent="0.25">
      <c r="A112" s="1"/>
      <c r="B112" s="111" t="s">
        <v>1652</v>
      </c>
      <c r="C112" s="112">
        <v>0.61</v>
      </c>
      <c r="D112" s="112" t="s">
        <v>1644</v>
      </c>
      <c r="E112" s="176"/>
      <c r="F112" s="114" t="s">
        <v>1861</v>
      </c>
      <c r="G112" s="27">
        <v>241</v>
      </c>
      <c r="H112" s="114"/>
      <c r="I112" s="27"/>
      <c r="J112" s="1"/>
      <c r="K112" s="1"/>
    </row>
    <row r="113" spans="1:11" ht="15.6" x14ac:dyDescent="0.25">
      <c r="A113" s="1"/>
      <c r="B113" s="111" t="s">
        <v>1655</v>
      </c>
      <c r="C113" s="112">
        <v>0.92</v>
      </c>
      <c r="D113" s="112" t="s">
        <v>1644</v>
      </c>
      <c r="E113" s="176"/>
      <c r="F113" s="114" t="s">
        <v>1863</v>
      </c>
      <c r="G113" s="27">
        <v>349</v>
      </c>
      <c r="H113" s="114"/>
      <c r="I113" s="27"/>
      <c r="J113" s="1"/>
      <c r="K113" s="1"/>
    </row>
    <row r="114" spans="1:11" ht="15.6" x14ac:dyDescent="0.25">
      <c r="A114" s="1"/>
      <c r="B114" s="111" t="s">
        <v>1658</v>
      </c>
      <c r="C114" s="112">
        <v>1.22</v>
      </c>
      <c r="D114" s="112" t="s">
        <v>1644</v>
      </c>
      <c r="E114" s="176"/>
      <c r="F114" s="114" t="s">
        <v>1864</v>
      </c>
      <c r="G114" s="27">
        <v>457.995</v>
      </c>
      <c r="H114" s="114"/>
      <c r="I114" s="27"/>
      <c r="J114" s="1"/>
      <c r="K114" s="1"/>
    </row>
    <row r="115" spans="1:11" ht="15.6" x14ac:dyDescent="0.25">
      <c r="A115" s="1"/>
      <c r="B115" s="111" t="s">
        <v>1661</v>
      </c>
      <c r="C115" s="112">
        <v>1.83</v>
      </c>
      <c r="D115" s="112" t="s">
        <v>1644</v>
      </c>
      <c r="E115" s="176"/>
      <c r="F115" s="114" t="s">
        <v>1866</v>
      </c>
      <c r="G115" s="27">
        <v>676</v>
      </c>
      <c r="H115" s="114"/>
      <c r="I115" s="27"/>
      <c r="J115" s="1"/>
      <c r="K115" s="1"/>
    </row>
    <row r="116" spans="1:11" ht="15.6" x14ac:dyDescent="0.25">
      <c r="A116" s="1"/>
      <c r="B116" s="111" t="s">
        <v>1661</v>
      </c>
      <c r="C116" s="112">
        <v>1.83</v>
      </c>
      <c r="D116" s="112" t="s">
        <v>1641</v>
      </c>
      <c r="E116" s="176"/>
      <c r="F116" s="114" t="s">
        <v>1868</v>
      </c>
      <c r="G116" s="27">
        <v>670</v>
      </c>
      <c r="H116" s="114"/>
      <c r="I116" s="27"/>
      <c r="J116" s="1"/>
      <c r="K116" s="1"/>
    </row>
    <row r="117" spans="1:11" ht="15.6" x14ac:dyDescent="0.25">
      <c r="A117" s="1"/>
      <c r="B117" s="111" t="s">
        <v>1658</v>
      </c>
      <c r="C117" s="112">
        <v>1.22</v>
      </c>
      <c r="D117" s="112" t="s">
        <v>1641</v>
      </c>
      <c r="E117" s="173"/>
      <c r="F117" s="114" t="s">
        <v>1869</v>
      </c>
      <c r="G117" s="27">
        <v>452</v>
      </c>
      <c r="H117" s="115"/>
      <c r="I117" s="27"/>
      <c r="J117" s="1"/>
      <c r="K117" s="1"/>
    </row>
    <row r="118" spans="1:11" ht="15.6" x14ac:dyDescent="0.25">
      <c r="A118" s="1"/>
      <c r="B118" s="111" t="s">
        <v>1640</v>
      </c>
      <c r="C118" s="112">
        <v>3</v>
      </c>
      <c r="D118" s="112" t="s">
        <v>1641</v>
      </c>
      <c r="E118" s="177">
        <v>160</v>
      </c>
      <c r="F118" s="114" t="s">
        <v>1871</v>
      </c>
      <c r="G118" s="27">
        <v>2038</v>
      </c>
      <c r="H118" s="114"/>
      <c r="I118" s="27"/>
      <c r="J118" s="1"/>
      <c r="K118" s="1"/>
    </row>
    <row r="119" spans="1:11" ht="15.6" x14ac:dyDescent="0.25">
      <c r="A119" s="1"/>
      <c r="B119" s="111" t="s">
        <v>1640</v>
      </c>
      <c r="C119" s="112">
        <v>3</v>
      </c>
      <c r="D119" s="112" t="s">
        <v>1644</v>
      </c>
      <c r="E119" s="176"/>
      <c r="F119" s="114" t="s">
        <v>1872</v>
      </c>
      <c r="G119" s="27">
        <v>2048</v>
      </c>
      <c r="H119" s="114"/>
      <c r="I119" s="27"/>
      <c r="J119" s="1"/>
      <c r="K119" s="1"/>
    </row>
    <row r="120" spans="1:11" ht="15.6" x14ac:dyDescent="0.25">
      <c r="A120" s="1"/>
      <c r="B120" s="111" t="s">
        <v>1647</v>
      </c>
      <c r="C120" s="112">
        <v>6</v>
      </c>
      <c r="D120" s="112" t="s">
        <v>1641</v>
      </c>
      <c r="E120" s="176"/>
      <c r="F120" s="114" t="s">
        <v>1873</v>
      </c>
      <c r="G120" s="27">
        <v>4076</v>
      </c>
      <c r="H120" s="114"/>
      <c r="I120" s="27"/>
      <c r="J120" s="1"/>
      <c r="K120" s="1"/>
    </row>
    <row r="121" spans="1:11" ht="15.6" x14ac:dyDescent="0.25">
      <c r="A121" s="1"/>
      <c r="B121" s="111" t="s">
        <v>1647</v>
      </c>
      <c r="C121" s="112">
        <v>6</v>
      </c>
      <c r="D121" s="112" t="s">
        <v>1644</v>
      </c>
      <c r="E121" s="176"/>
      <c r="F121" s="114" t="s">
        <v>1875</v>
      </c>
      <c r="G121" s="27">
        <v>4086</v>
      </c>
      <c r="H121" s="114"/>
      <c r="I121" s="27"/>
      <c r="J121" s="1"/>
      <c r="K121" s="1"/>
    </row>
    <row r="122" spans="1:11" ht="15.6" x14ac:dyDescent="0.25">
      <c r="A122" s="1"/>
      <c r="B122" s="111" t="s">
        <v>1652</v>
      </c>
      <c r="C122" s="112">
        <v>0.61</v>
      </c>
      <c r="D122" s="112" t="s">
        <v>1644</v>
      </c>
      <c r="E122" s="176"/>
      <c r="F122" s="114" t="s">
        <v>1876</v>
      </c>
      <c r="G122" s="27">
        <v>512</v>
      </c>
      <c r="H122" s="115"/>
      <c r="I122" s="27"/>
      <c r="J122" s="1"/>
      <c r="K122" s="1"/>
    </row>
    <row r="123" spans="1:11" ht="15.6" x14ac:dyDescent="0.25">
      <c r="A123" s="1"/>
      <c r="B123" s="111" t="s">
        <v>1655</v>
      </c>
      <c r="C123" s="112">
        <v>0.92</v>
      </c>
      <c r="D123" s="112" t="s">
        <v>1644</v>
      </c>
      <c r="E123" s="176"/>
      <c r="F123" s="114" t="s">
        <v>1879</v>
      </c>
      <c r="G123" s="27">
        <v>732</v>
      </c>
      <c r="H123" s="115"/>
      <c r="I123" s="27"/>
      <c r="J123" s="1"/>
      <c r="K123" s="1"/>
    </row>
    <row r="124" spans="1:11" ht="15.6" x14ac:dyDescent="0.25">
      <c r="A124" s="1"/>
      <c r="B124" s="111" t="s">
        <v>1658</v>
      </c>
      <c r="C124" s="112">
        <v>1.22</v>
      </c>
      <c r="D124" s="112" t="s">
        <v>1644</v>
      </c>
      <c r="E124" s="176"/>
      <c r="F124" s="114" t="s">
        <v>1881</v>
      </c>
      <c r="G124" s="27">
        <v>978</v>
      </c>
      <c r="H124" s="115"/>
      <c r="I124" s="27"/>
      <c r="J124" s="1"/>
      <c r="K124" s="1"/>
    </row>
    <row r="125" spans="1:11" ht="15.6" x14ac:dyDescent="0.25">
      <c r="A125" s="1"/>
      <c r="B125" s="111" t="s">
        <v>1661</v>
      </c>
      <c r="C125" s="112">
        <v>1.83</v>
      </c>
      <c r="D125" s="112" t="s">
        <v>1644</v>
      </c>
      <c r="E125" s="176"/>
      <c r="F125" s="114" t="s">
        <v>1883</v>
      </c>
      <c r="G125" s="27">
        <v>1398</v>
      </c>
      <c r="H125" s="115"/>
      <c r="I125" s="27"/>
      <c r="J125" s="1"/>
      <c r="K125" s="1"/>
    </row>
    <row r="126" spans="1:11" ht="15.6" x14ac:dyDescent="0.25">
      <c r="A126" s="1"/>
      <c r="B126" s="111" t="s">
        <v>1661</v>
      </c>
      <c r="C126" s="112">
        <v>1.83</v>
      </c>
      <c r="D126" s="112" t="s">
        <v>1641</v>
      </c>
      <c r="E126" s="176"/>
      <c r="F126" s="114" t="s">
        <v>1884</v>
      </c>
      <c r="G126" s="27">
        <v>1388</v>
      </c>
      <c r="H126" s="115"/>
      <c r="I126" s="27"/>
      <c r="J126" s="1"/>
      <c r="K126" s="1"/>
    </row>
    <row r="127" spans="1:11" ht="15.6" x14ac:dyDescent="0.25">
      <c r="A127" s="1"/>
      <c r="B127" s="111" t="s">
        <v>1658</v>
      </c>
      <c r="C127" s="112">
        <v>1.22</v>
      </c>
      <c r="D127" s="112" t="s">
        <v>1641</v>
      </c>
      <c r="E127" s="173"/>
      <c r="F127" s="114" t="s">
        <v>1886</v>
      </c>
      <c r="G127" s="27">
        <v>968</v>
      </c>
      <c r="H127" s="115"/>
      <c r="I127" s="27"/>
      <c r="J127" s="1"/>
      <c r="K127" s="1"/>
    </row>
    <row r="128" spans="1:11" ht="13.2" x14ac:dyDescent="0.25">
      <c r="A128" s="1"/>
      <c r="B128" s="1"/>
      <c r="C128" s="1"/>
      <c r="D128" s="1"/>
      <c r="E128" s="1"/>
      <c r="F128" s="1"/>
      <c r="G128" s="18"/>
      <c r="H128" s="1"/>
      <c r="I128" s="18"/>
      <c r="J128" s="1"/>
      <c r="K128" s="1"/>
    </row>
    <row r="129" spans="1:11" ht="15.6" x14ac:dyDescent="0.25">
      <c r="A129" s="1"/>
      <c r="B129" s="117" t="s">
        <v>1889</v>
      </c>
      <c r="C129" s="91"/>
      <c r="D129" s="91"/>
      <c r="E129" s="91"/>
      <c r="F129" s="118"/>
      <c r="G129" s="109"/>
      <c r="H129" s="87"/>
      <c r="I129" s="110"/>
      <c r="J129" s="1"/>
      <c r="K129" s="1"/>
    </row>
    <row r="130" spans="1:11" ht="15.6" x14ac:dyDescent="0.25">
      <c r="A130" s="1"/>
      <c r="B130" s="111" t="s">
        <v>1640</v>
      </c>
      <c r="C130" s="112">
        <v>3</v>
      </c>
      <c r="D130" s="112" t="s">
        <v>1641</v>
      </c>
      <c r="E130" s="177">
        <v>75</v>
      </c>
      <c r="F130" s="125" t="s">
        <v>1891</v>
      </c>
      <c r="G130" s="27">
        <v>921</v>
      </c>
      <c r="H130" s="114"/>
      <c r="I130" s="27"/>
      <c r="J130" s="1"/>
      <c r="K130" s="1"/>
    </row>
    <row r="131" spans="1:11" ht="15.6" x14ac:dyDescent="0.25">
      <c r="A131" s="1"/>
      <c r="B131" s="111" t="s">
        <v>1640</v>
      </c>
      <c r="C131" s="112">
        <v>3</v>
      </c>
      <c r="D131" s="112" t="s">
        <v>1644</v>
      </c>
      <c r="E131" s="176"/>
      <c r="F131" s="114" t="s">
        <v>1892</v>
      </c>
      <c r="G131" s="27">
        <v>927</v>
      </c>
      <c r="H131" s="114"/>
      <c r="I131" s="27"/>
      <c r="J131" s="1"/>
      <c r="K131" s="1"/>
    </row>
    <row r="132" spans="1:11" ht="15.6" x14ac:dyDescent="0.25">
      <c r="A132" s="1"/>
      <c r="B132" s="111" t="s">
        <v>1647</v>
      </c>
      <c r="C132" s="112">
        <v>6</v>
      </c>
      <c r="D132" s="112" t="s">
        <v>1641</v>
      </c>
      <c r="E132" s="176"/>
      <c r="F132" s="114" t="s">
        <v>1894</v>
      </c>
      <c r="G132" s="27">
        <v>1842</v>
      </c>
      <c r="H132" s="114"/>
      <c r="I132" s="27"/>
      <c r="J132" s="1"/>
      <c r="K132" s="1"/>
    </row>
    <row r="133" spans="1:11" ht="15.6" x14ac:dyDescent="0.25">
      <c r="A133" s="1"/>
      <c r="B133" s="111" t="s">
        <v>1647</v>
      </c>
      <c r="C133" s="112">
        <v>6</v>
      </c>
      <c r="D133" s="112" t="s">
        <v>1644</v>
      </c>
      <c r="E133" s="176"/>
      <c r="F133" s="114" t="s">
        <v>1895</v>
      </c>
      <c r="G133" s="27">
        <v>1848</v>
      </c>
      <c r="H133" s="114"/>
      <c r="I133" s="27"/>
      <c r="J133" s="1"/>
      <c r="K133" s="1"/>
    </row>
    <row r="134" spans="1:11" ht="15.6" x14ac:dyDescent="0.25">
      <c r="A134" s="1"/>
      <c r="B134" s="111" t="s">
        <v>1652</v>
      </c>
      <c r="C134" s="112">
        <v>0.61</v>
      </c>
      <c r="D134" s="112" t="s">
        <v>1644</v>
      </c>
      <c r="E134" s="176"/>
      <c r="F134" s="114" t="s">
        <v>1897</v>
      </c>
      <c r="G134" s="27">
        <v>222</v>
      </c>
      <c r="H134" s="114"/>
      <c r="I134" s="27"/>
      <c r="J134" s="1"/>
      <c r="K134" s="1"/>
    </row>
    <row r="135" spans="1:11" ht="15.6" x14ac:dyDescent="0.25">
      <c r="A135" s="1"/>
      <c r="B135" s="111" t="s">
        <v>1655</v>
      </c>
      <c r="C135" s="112">
        <v>0.92</v>
      </c>
      <c r="D135" s="112" t="s">
        <v>1644</v>
      </c>
      <c r="E135" s="176"/>
      <c r="F135" s="114" t="s">
        <v>1899</v>
      </c>
      <c r="G135" s="27">
        <v>325</v>
      </c>
      <c r="H135" s="114"/>
      <c r="I135" s="27"/>
      <c r="J135" s="1"/>
      <c r="K135" s="1"/>
    </row>
    <row r="136" spans="1:11" ht="15.6" x14ac:dyDescent="0.25">
      <c r="A136" s="1"/>
      <c r="B136" s="111" t="s">
        <v>1658</v>
      </c>
      <c r="C136" s="112">
        <v>1.22</v>
      </c>
      <c r="D136" s="112" t="s">
        <v>1644</v>
      </c>
      <c r="E136" s="176"/>
      <c r="F136" s="114" t="s">
        <v>1901</v>
      </c>
      <c r="G136" s="27">
        <v>429</v>
      </c>
      <c r="H136" s="114"/>
      <c r="I136" s="27"/>
      <c r="J136" s="1"/>
      <c r="K136" s="1"/>
    </row>
    <row r="137" spans="1:11" ht="15.6" x14ac:dyDescent="0.25">
      <c r="A137" s="1"/>
      <c r="B137" s="111" t="s">
        <v>1661</v>
      </c>
      <c r="C137" s="112">
        <v>1.83</v>
      </c>
      <c r="D137" s="112" t="s">
        <v>1644</v>
      </c>
      <c r="E137" s="176"/>
      <c r="F137" s="114" t="s">
        <v>1903</v>
      </c>
      <c r="G137" s="27">
        <v>636</v>
      </c>
      <c r="H137" s="114"/>
      <c r="I137" s="27"/>
      <c r="J137" s="1"/>
      <c r="K137" s="1"/>
    </row>
    <row r="138" spans="1:11" ht="15.6" x14ac:dyDescent="0.25">
      <c r="A138" s="1"/>
      <c r="B138" s="111" t="s">
        <v>1661</v>
      </c>
      <c r="C138" s="112">
        <v>1.83</v>
      </c>
      <c r="D138" s="112" t="s">
        <v>1641</v>
      </c>
      <c r="E138" s="176"/>
      <c r="F138" s="114" t="s">
        <v>1904</v>
      </c>
      <c r="G138" s="27">
        <v>630</v>
      </c>
      <c r="H138" s="114"/>
      <c r="I138" s="27"/>
      <c r="J138" s="1"/>
      <c r="K138" s="1"/>
    </row>
    <row r="139" spans="1:11" ht="15.6" x14ac:dyDescent="0.25">
      <c r="A139" s="1"/>
      <c r="B139" s="111" t="s">
        <v>1658</v>
      </c>
      <c r="C139" s="112">
        <v>1.22</v>
      </c>
      <c r="D139" s="112" t="s">
        <v>1641</v>
      </c>
      <c r="E139" s="173"/>
      <c r="F139" s="114" t="s">
        <v>1906</v>
      </c>
      <c r="G139" s="27">
        <v>424</v>
      </c>
      <c r="H139" s="115"/>
      <c r="I139" s="27"/>
      <c r="J139" s="1"/>
      <c r="K139" s="1"/>
    </row>
    <row r="140" spans="1:11" ht="15.6" x14ac:dyDescent="0.25">
      <c r="A140" s="1"/>
      <c r="B140" s="111" t="s">
        <v>1640</v>
      </c>
      <c r="C140" s="112">
        <v>3</v>
      </c>
      <c r="D140" s="112" t="s">
        <v>1641</v>
      </c>
      <c r="E140" s="177">
        <v>90</v>
      </c>
      <c r="F140" s="114" t="s">
        <v>1908</v>
      </c>
      <c r="G140" s="27">
        <v>1098</v>
      </c>
      <c r="H140" s="114"/>
      <c r="I140" s="27"/>
      <c r="J140" s="1"/>
      <c r="K140" s="1"/>
    </row>
    <row r="141" spans="1:11" ht="15.6" x14ac:dyDescent="0.25">
      <c r="A141" s="1"/>
      <c r="B141" s="111" t="s">
        <v>1640</v>
      </c>
      <c r="C141" s="112">
        <v>3</v>
      </c>
      <c r="D141" s="112" t="s">
        <v>1644</v>
      </c>
      <c r="E141" s="176"/>
      <c r="F141" s="114" t="s">
        <v>1911</v>
      </c>
      <c r="G141" s="27">
        <v>1108</v>
      </c>
      <c r="H141" s="114"/>
      <c r="I141" s="27"/>
      <c r="J141" s="1"/>
      <c r="K141" s="1"/>
    </row>
    <row r="142" spans="1:11" ht="15.6" x14ac:dyDescent="0.25">
      <c r="A142" s="1"/>
      <c r="B142" s="111" t="s">
        <v>1647</v>
      </c>
      <c r="C142" s="112">
        <v>6</v>
      </c>
      <c r="D142" s="112" t="s">
        <v>1641</v>
      </c>
      <c r="E142" s="176"/>
      <c r="F142" s="114" t="s">
        <v>1912</v>
      </c>
      <c r="G142" s="27">
        <v>2196</v>
      </c>
      <c r="H142" s="114"/>
      <c r="I142" s="27"/>
      <c r="J142" s="1"/>
      <c r="K142" s="1"/>
    </row>
    <row r="143" spans="1:11" ht="15.6" x14ac:dyDescent="0.25">
      <c r="A143" s="1"/>
      <c r="B143" s="111" t="s">
        <v>1647</v>
      </c>
      <c r="C143" s="112">
        <v>6</v>
      </c>
      <c r="D143" s="112" t="s">
        <v>1644</v>
      </c>
      <c r="E143" s="176"/>
      <c r="F143" s="114" t="s">
        <v>1913</v>
      </c>
      <c r="G143" s="27">
        <v>2208</v>
      </c>
      <c r="H143" s="114"/>
      <c r="I143" s="27"/>
      <c r="J143" s="1"/>
      <c r="K143" s="1"/>
    </row>
    <row r="144" spans="1:11" ht="15.6" x14ac:dyDescent="0.25">
      <c r="A144" s="1"/>
      <c r="B144" s="111" t="s">
        <v>1652</v>
      </c>
      <c r="C144" s="112">
        <v>0.61</v>
      </c>
      <c r="D144" s="112" t="s">
        <v>1644</v>
      </c>
      <c r="E144" s="176"/>
      <c r="F144" s="114" t="s">
        <v>1914</v>
      </c>
      <c r="G144" s="27">
        <v>274</v>
      </c>
      <c r="H144" s="114"/>
      <c r="I144" s="27"/>
      <c r="J144" s="1"/>
      <c r="K144" s="1"/>
    </row>
    <row r="145" spans="1:11" ht="15.6" x14ac:dyDescent="0.25">
      <c r="A145" s="1"/>
      <c r="B145" s="111" t="s">
        <v>1655</v>
      </c>
      <c r="C145" s="112">
        <v>0.92</v>
      </c>
      <c r="D145" s="112" t="s">
        <v>1644</v>
      </c>
      <c r="E145" s="176"/>
      <c r="F145" s="114" t="s">
        <v>1915</v>
      </c>
      <c r="G145" s="27">
        <v>399</v>
      </c>
      <c r="H145" s="114"/>
      <c r="I145" s="27"/>
      <c r="J145" s="1"/>
      <c r="K145" s="1"/>
    </row>
    <row r="146" spans="1:11" ht="15.6" x14ac:dyDescent="0.25">
      <c r="A146" s="1"/>
      <c r="B146" s="111" t="s">
        <v>1658</v>
      </c>
      <c r="C146" s="112">
        <v>1.22</v>
      </c>
      <c r="D146" s="112" t="s">
        <v>1644</v>
      </c>
      <c r="E146" s="176"/>
      <c r="F146" s="114" t="s">
        <v>1917</v>
      </c>
      <c r="G146" s="27">
        <v>524</v>
      </c>
      <c r="H146" s="114"/>
      <c r="I146" s="27"/>
      <c r="J146" s="1"/>
      <c r="K146" s="1"/>
    </row>
    <row r="147" spans="1:11" ht="15.6" x14ac:dyDescent="0.25">
      <c r="A147" s="1"/>
      <c r="B147" s="111" t="s">
        <v>1661</v>
      </c>
      <c r="C147" s="112">
        <v>1.83</v>
      </c>
      <c r="D147" s="112" t="s">
        <v>1644</v>
      </c>
      <c r="E147" s="176"/>
      <c r="F147" s="114" t="s">
        <v>1918</v>
      </c>
      <c r="G147" s="27">
        <v>774</v>
      </c>
      <c r="H147" s="114"/>
      <c r="I147" s="27"/>
      <c r="J147" s="1"/>
      <c r="K147" s="1"/>
    </row>
    <row r="148" spans="1:11" ht="15.6" x14ac:dyDescent="0.25">
      <c r="A148" s="1"/>
      <c r="B148" s="111" t="s">
        <v>1661</v>
      </c>
      <c r="C148" s="112">
        <v>1.83</v>
      </c>
      <c r="D148" s="112" t="s">
        <v>1641</v>
      </c>
      <c r="E148" s="176"/>
      <c r="F148" s="114" t="s">
        <v>1919</v>
      </c>
      <c r="G148" s="27">
        <v>774</v>
      </c>
      <c r="H148" s="114"/>
      <c r="I148" s="27"/>
      <c r="J148" s="1"/>
      <c r="K148" s="1"/>
    </row>
    <row r="149" spans="1:11" ht="15.6" x14ac:dyDescent="0.25">
      <c r="A149" s="1"/>
      <c r="B149" s="111" t="s">
        <v>1658</v>
      </c>
      <c r="C149" s="112">
        <v>1.22</v>
      </c>
      <c r="D149" s="112" t="s">
        <v>1641</v>
      </c>
      <c r="E149" s="173"/>
      <c r="F149" s="114" t="s">
        <v>1920</v>
      </c>
      <c r="G149" s="27">
        <v>524</v>
      </c>
      <c r="H149" s="115"/>
      <c r="I149" s="27"/>
      <c r="J149" s="1"/>
      <c r="K149" s="1"/>
    </row>
    <row r="150" spans="1:11" ht="15.6" x14ac:dyDescent="0.25">
      <c r="A150" s="1"/>
      <c r="B150" s="111" t="s">
        <v>1640</v>
      </c>
      <c r="C150" s="112">
        <v>3</v>
      </c>
      <c r="D150" s="112" t="s">
        <v>1641</v>
      </c>
      <c r="E150" s="177">
        <v>110</v>
      </c>
      <c r="F150" s="114" t="s">
        <v>1921</v>
      </c>
      <c r="G150" s="27">
        <v>1378</v>
      </c>
      <c r="H150" s="114"/>
      <c r="I150" s="27"/>
      <c r="J150" s="1"/>
      <c r="K150" s="1"/>
    </row>
    <row r="151" spans="1:11" ht="15.6" x14ac:dyDescent="0.25">
      <c r="A151" s="1"/>
      <c r="B151" s="111" t="s">
        <v>1640</v>
      </c>
      <c r="C151" s="112">
        <v>3</v>
      </c>
      <c r="D151" s="112" t="s">
        <v>1644</v>
      </c>
      <c r="E151" s="176"/>
      <c r="F151" s="114" t="s">
        <v>1923</v>
      </c>
      <c r="G151" s="27">
        <v>1384</v>
      </c>
      <c r="H151" s="114"/>
      <c r="I151" s="27"/>
      <c r="J151" s="1"/>
      <c r="K151" s="1"/>
    </row>
    <row r="152" spans="1:11" ht="15.6" x14ac:dyDescent="0.25">
      <c r="A152" s="1"/>
      <c r="B152" s="111" t="s">
        <v>1647</v>
      </c>
      <c r="C152" s="112">
        <v>6</v>
      </c>
      <c r="D152" s="112" t="s">
        <v>1641</v>
      </c>
      <c r="E152" s="176"/>
      <c r="F152" s="114" t="s">
        <v>1926</v>
      </c>
      <c r="G152" s="27">
        <v>2756</v>
      </c>
      <c r="H152" s="114"/>
      <c r="I152" s="27"/>
      <c r="J152" s="1"/>
      <c r="K152" s="1"/>
    </row>
    <row r="153" spans="1:11" ht="15.6" x14ac:dyDescent="0.25">
      <c r="A153" s="1"/>
      <c r="B153" s="111" t="s">
        <v>1647</v>
      </c>
      <c r="C153" s="112">
        <v>6</v>
      </c>
      <c r="D153" s="112" t="s">
        <v>1644</v>
      </c>
      <c r="E153" s="176"/>
      <c r="F153" s="114" t="s">
        <v>1927</v>
      </c>
      <c r="G153" s="27">
        <v>2762</v>
      </c>
      <c r="H153" s="114"/>
      <c r="I153" s="27"/>
      <c r="J153" s="1"/>
      <c r="K153" s="1"/>
    </row>
    <row r="154" spans="1:11" ht="15.6" x14ac:dyDescent="0.25">
      <c r="A154" s="1"/>
      <c r="B154" s="111" t="s">
        <v>1652</v>
      </c>
      <c r="C154" s="112">
        <v>0.61</v>
      </c>
      <c r="D154" s="112" t="s">
        <v>1644</v>
      </c>
      <c r="E154" s="176"/>
      <c r="F154" s="114" t="s">
        <v>1929</v>
      </c>
      <c r="G154" s="27">
        <v>336</v>
      </c>
      <c r="H154" s="114"/>
      <c r="I154" s="27"/>
      <c r="J154" s="1"/>
      <c r="K154" s="1"/>
    </row>
    <row r="155" spans="1:11" ht="15.6" x14ac:dyDescent="0.25">
      <c r="A155" s="1"/>
      <c r="B155" s="111" t="s">
        <v>1655</v>
      </c>
      <c r="C155" s="112">
        <v>0.92</v>
      </c>
      <c r="D155" s="112" t="s">
        <v>1644</v>
      </c>
      <c r="E155" s="176"/>
      <c r="F155" s="114" t="s">
        <v>1930</v>
      </c>
      <c r="G155" s="27">
        <v>488</v>
      </c>
      <c r="H155" s="114"/>
      <c r="I155" s="27"/>
      <c r="J155" s="1"/>
      <c r="K155" s="1"/>
    </row>
    <row r="156" spans="1:11" ht="15.6" x14ac:dyDescent="0.25">
      <c r="A156" s="1"/>
      <c r="B156" s="111" t="s">
        <v>1658</v>
      </c>
      <c r="C156" s="112">
        <v>1.22</v>
      </c>
      <c r="D156" s="112" t="s">
        <v>1644</v>
      </c>
      <c r="E156" s="176"/>
      <c r="F156" s="114" t="s">
        <v>1932</v>
      </c>
      <c r="G156" s="27">
        <v>648</v>
      </c>
      <c r="H156" s="114"/>
      <c r="I156" s="27"/>
      <c r="J156" s="1"/>
      <c r="K156" s="1"/>
    </row>
    <row r="157" spans="1:11" ht="15.6" x14ac:dyDescent="0.25">
      <c r="A157" s="1"/>
      <c r="B157" s="111" t="s">
        <v>1661</v>
      </c>
      <c r="C157" s="112">
        <v>1.83</v>
      </c>
      <c r="D157" s="112" t="s">
        <v>1644</v>
      </c>
      <c r="E157" s="176"/>
      <c r="F157" s="114" t="s">
        <v>1934</v>
      </c>
      <c r="G157" s="27">
        <v>938</v>
      </c>
      <c r="H157" s="114"/>
      <c r="I157" s="27"/>
      <c r="J157" s="1"/>
      <c r="K157" s="1"/>
    </row>
    <row r="158" spans="1:11" ht="15.6" x14ac:dyDescent="0.25">
      <c r="A158" s="1"/>
      <c r="B158" s="111" t="s">
        <v>1661</v>
      </c>
      <c r="C158" s="112">
        <v>1.83</v>
      </c>
      <c r="D158" s="112" t="s">
        <v>1641</v>
      </c>
      <c r="E158" s="176"/>
      <c r="F158" s="114" t="s">
        <v>1935</v>
      </c>
      <c r="G158" s="27">
        <v>930</v>
      </c>
      <c r="H158" s="114"/>
      <c r="I158" s="27"/>
      <c r="J158" s="1"/>
      <c r="K158" s="1"/>
    </row>
    <row r="159" spans="1:11" ht="15.6" x14ac:dyDescent="0.25">
      <c r="A159" s="1"/>
      <c r="B159" s="111" t="s">
        <v>1658</v>
      </c>
      <c r="C159" s="112">
        <v>1.22</v>
      </c>
      <c r="D159" s="112" t="s">
        <v>1641</v>
      </c>
      <c r="E159" s="173"/>
      <c r="F159" s="114" t="s">
        <v>1939</v>
      </c>
      <c r="G159" s="27">
        <v>640</v>
      </c>
      <c r="H159" s="115"/>
      <c r="I159" s="27"/>
      <c r="J159" s="1"/>
      <c r="K159" s="1"/>
    </row>
    <row r="160" spans="1:11" ht="15.6" x14ac:dyDescent="0.25">
      <c r="A160" s="1"/>
      <c r="B160" s="111" t="s">
        <v>1640</v>
      </c>
      <c r="C160" s="112">
        <v>3</v>
      </c>
      <c r="D160" s="112" t="s">
        <v>1641</v>
      </c>
      <c r="E160" s="177">
        <v>160</v>
      </c>
      <c r="F160" s="114" t="s">
        <v>1941</v>
      </c>
      <c r="G160" s="27">
        <v>2488</v>
      </c>
      <c r="H160" s="114"/>
      <c r="I160" s="27"/>
      <c r="J160" s="1"/>
      <c r="K160" s="1"/>
    </row>
    <row r="161" spans="1:11" ht="15.6" x14ac:dyDescent="0.25">
      <c r="A161" s="1"/>
      <c r="B161" s="111" t="s">
        <v>1640</v>
      </c>
      <c r="C161" s="112">
        <v>3</v>
      </c>
      <c r="D161" s="112" t="s">
        <v>1644</v>
      </c>
      <c r="E161" s="176"/>
      <c r="F161" s="114" t="s">
        <v>1944</v>
      </c>
      <c r="G161" s="27">
        <v>2498</v>
      </c>
      <c r="H161" s="114"/>
      <c r="I161" s="27"/>
      <c r="J161" s="1"/>
      <c r="K161" s="1"/>
    </row>
    <row r="162" spans="1:11" ht="15.6" x14ac:dyDescent="0.25">
      <c r="A162" s="1"/>
      <c r="B162" s="111" t="s">
        <v>1647</v>
      </c>
      <c r="C162" s="112">
        <v>6</v>
      </c>
      <c r="D162" s="112" t="s">
        <v>1641</v>
      </c>
      <c r="E162" s="176"/>
      <c r="F162" s="114" t="s">
        <v>1946</v>
      </c>
      <c r="G162" s="27">
        <v>4976</v>
      </c>
      <c r="H162" s="114"/>
      <c r="I162" s="27"/>
      <c r="J162" s="1"/>
      <c r="K162" s="1"/>
    </row>
    <row r="163" spans="1:11" ht="15.6" x14ac:dyDescent="0.25">
      <c r="A163" s="1"/>
      <c r="B163" s="111" t="s">
        <v>1647</v>
      </c>
      <c r="C163" s="112">
        <v>6</v>
      </c>
      <c r="D163" s="112" t="s">
        <v>1644</v>
      </c>
      <c r="E163" s="176"/>
      <c r="F163" s="114" t="s">
        <v>1948</v>
      </c>
      <c r="G163" s="27">
        <v>4986</v>
      </c>
      <c r="H163" s="114"/>
      <c r="I163" s="27"/>
      <c r="J163" s="1"/>
      <c r="K163" s="1"/>
    </row>
    <row r="164" spans="1:11" ht="15.6" x14ac:dyDescent="0.25">
      <c r="A164" s="1"/>
      <c r="B164" s="111" t="s">
        <v>1652</v>
      </c>
      <c r="C164" s="112">
        <v>0.61</v>
      </c>
      <c r="D164" s="112" t="s">
        <v>1644</v>
      </c>
      <c r="E164" s="176"/>
      <c r="F164" s="114" t="s">
        <v>1950</v>
      </c>
      <c r="G164" s="27">
        <v>588</v>
      </c>
      <c r="H164" s="114"/>
      <c r="I164" s="27"/>
      <c r="J164" s="1"/>
      <c r="K164" s="1"/>
    </row>
    <row r="165" spans="1:11" ht="15.6" x14ac:dyDescent="0.25">
      <c r="A165" s="1"/>
      <c r="B165" s="111" t="s">
        <v>1655</v>
      </c>
      <c r="C165" s="112">
        <v>0.92</v>
      </c>
      <c r="D165" s="112" t="s">
        <v>1644</v>
      </c>
      <c r="E165" s="176"/>
      <c r="F165" s="114" t="s">
        <v>1953</v>
      </c>
      <c r="G165" s="27">
        <v>882</v>
      </c>
      <c r="H165" s="115"/>
      <c r="I165" s="27"/>
      <c r="J165" s="1"/>
      <c r="K165" s="1"/>
    </row>
    <row r="166" spans="1:11" ht="15.6" x14ac:dyDescent="0.25">
      <c r="A166" s="1"/>
      <c r="B166" s="111" t="s">
        <v>1658</v>
      </c>
      <c r="C166" s="112">
        <v>1.22</v>
      </c>
      <c r="D166" s="112" t="s">
        <v>1644</v>
      </c>
      <c r="E166" s="176"/>
      <c r="F166" s="114" t="s">
        <v>1954</v>
      </c>
      <c r="G166" s="27">
        <v>1176</v>
      </c>
      <c r="H166" s="115"/>
      <c r="I166" s="27"/>
      <c r="J166" s="1"/>
      <c r="K166" s="1"/>
    </row>
    <row r="167" spans="1:11" ht="15.6" x14ac:dyDescent="0.25">
      <c r="A167" s="1"/>
      <c r="B167" s="111" t="s">
        <v>1661</v>
      </c>
      <c r="C167" s="112">
        <v>1.83</v>
      </c>
      <c r="D167" s="112" t="s">
        <v>1644</v>
      </c>
      <c r="E167" s="176"/>
      <c r="F167" s="114" t="s">
        <v>1957</v>
      </c>
      <c r="G167" s="27">
        <v>1764</v>
      </c>
      <c r="H167" s="115"/>
      <c r="I167" s="27"/>
      <c r="J167" s="1"/>
      <c r="K167" s="1"/>
    </row>
    <row r="168" spans="1:11" ht="15.6" x14ac:dyDescent="0.25">
      <c r="A168" s="1"/>
      <c r="B168" s="111" t="s">
        <v>1661</v>
      </c>
      <c r="C168" s="112">
        <v>1.83</v>
      </c>
      <c r="D168" s="112" t="s">
        <v>1641</v>
      </c>
      <c r="E168" s="176"/>
      <c r="F168" s="114" t="s">
        <v>1958</v>
      </c>
      <c r="G168" s="27">
        <v>1748</v>
      </c>
      <c r="H168" s="115"/>
      <c r="I168" s="27"/>
      <c r="J168" s="1"/>
      <c r="K168" s="1"/>
    </row>
    <row r="169" spans="1:11" ht="15.6" x14ac:dyDescent="0.25">
      <c r="A169" s="1"/>
      <c r="B169" s="111" t="s">
        <v>1658</v>
      </c>
      <c r="C169" s="112">
        <v>1.22</v>
      </c>
      <c r="D169" s="112" t="s">
        <v>1641</v>
      </c>
      <c r="E169" s="173"/>
      <c r="F169" s="114" t="s">
        <v>1959</v>
      </c>
      <c r="G169" s="27">
        <v>1160</v>
      </c>
      <c r="H169" s="115"/>
      <c r="I169" s="27"/>
      <c r="J169" s="1"/>
      <c r="K169" s="1"/>
    </row>
    <row r="170" spans="1:11" ht="13.2" x14ac:dyDescent="0.25">
      <c r="A170" s="1"/>
      <c r="B170" s="1"/>
      <c r="C170" s="1"/>
      <c r="D170" s="1"/>
      <c r="E170" s="1"/>
      <c r="F170" s="1"/>
      <c r="G170" s="18"/>
      <c r="H170" s="1"/>
      <c r="I170" s="1"/>
      <c r="J170" s="1"/>
      <c r="K170" s="1"/>
    </row>
    <row r="171" spans="1:11" ht="13.2" x14ac:dyDescent="0.25">
      <c r="A171" s="1"/>
      <c r="B171" s="1"/>
      <c r="C171" s="1"/>
      <c r="D171" s="1"/>
      <c r="E171" s="1"/>
      <c r="F171" s="1"/>
      <c r="G171" s="18"/>
      <c r="H171" s="1"/>
      <c r="I171" s="1"/>
      <c r="J171" s="1"/>
      <c r="K171" s="1"/>
    </row>
    <row r="172" spans="1:11" ht="13.2" x14ac:dyDescent="0.25">
      <c r="A172" s="1"/>
      <c r="B172" s="1"/>
      <c r="C172" s="1"/>
      <c r="D172" s="1"/>
      <c r="E172" s="1"/>
      <c r="F172" s="1"/>
      <c r="G172" s="18"/>
      <c r="H172" s="1"/>
      <c r="I172" s="1"/>
      <c r="J172" s="1"/>
      <c r="K172" s="1"/>
    </row>
    <row r="173" spans="1:11" ht="13.2" x14ac:dyDescent="0.25">
      <c r="A173" s="1"/>
      <c r="B173" s="1"/>
      <c r="C173" s="1"/>
      <c r="D173" s="1"/>
      <c r="E173" s="1"/>
      <c r="F173" s="1"/>
      <c r="G173" s="18"/>
      <c r="H173" s="1"/>
      <c r="I173" s="1"/>
      <c r="J173" s="1"/>
      <c r="K173" s="1"/>
    </row>
    <row r="174" spans="1:11" ht="13.2" x14ac:dyDescent="0.25">
      <c r="A174" s="1"/>
      <c r="B174" s="1"/>
      <c r="C174" s="1"/>
      <c r="D174" s="1"/>
      <c r="E174" s="1"/>
      <c r="F174" s="1"/>
      <c r="G174" s="18"/>
      <c r="H174" s="1"/>
      <c r="I174" s="1"/>
      <c r="J174" s="1"/>
      <c r="K174" s="1"/>
    </row>
    <row r="175" spans="1:11" ht="13.2" x14ac:dyDescent="0.25">
      <c r="A175" s="1"/>
      <c r="B175" s="1"/>
      <c r="C175" s="1"/>
      <c r="D175" s="1"/>
      <c r="E175" s="1"/>
      <c r="F175" s="1"/>
      <c r="G175" s="18"/>
      <c r="H175" s="1"/>
      <c r="I175" s="1"/>
      <c r="J175" s="1"/>
      <c r="K175" s="1"/>
    </row>
    <row r="176" spans="1:11" ht="13.2" x14ac:dyDescent="0.25">
      <c r="A176" s="1"/>
      <c r="B176" s="1"/>
      <c r="C176" s="1"/>
      <c r="D176" s="1"/>
      <c r="E176" s="1"/>
      <c r="F176" s="1"/>
      <c r="G176" s="18"/>
      <c r="H176" s="1"/>
      <c r="I176" s="1"/>
      <c r="J176" s="1"/>
      <c r="K176" s="1"/>
    </row>
    <row r="177" spans="1:11" ht="13.2" x14ac:dyDescent="0.25">
      <c r="A177" s="1"/>
      <c r="B177" s="1"/>
      <c r="C177" s="1"/>
      <c r="D177" s="1"/>
      <c r="E177" s="1"/>
      <c r="F177" s="1"/>
      <c r="G177" s="18"/>
      <c r="H177" s="1"/>
      <c r="I177" s="1"/>
      <c r="J177" s="1"/>
      <c r="K177" s="1"/>
    </row>
    <row r="178" spans="1:11" ht="13.2" x14ac:dyDescent="0.25">
      <c r="A178" s="1"/>
      <c r="B178" s="1"/>
      <c r="C178" s="1"/>
      <c r="D178" s="1"/>
      <c r="E178" s="1"/>
      <c r="F178" s="1"/>
      <c r="G178" s="18"/>
      <c r="H178" s="1"/>
      <c r="I178" s="1"/>
      <c r="J178" s="1"/>
      <c r="K178" s="1"/>
    </row>
    <row r="179" spans="1:11" ht="13.2" x14ac:dyDescent="0.25">
      <c r="A179" s="1"/>
      <c r="B179" s="1"/>
      <c r="C179" s="1"/>
      <c r="D179" s="1"/>
      <c r="E179" s="1"/>
      <c r="F179" s="1"/>
      <c r="G179" s="18"/>
      <c r="H179" s="1"/>
      <c r="I179" s="1"/>
      <c r="J179" s="1"/>
      <c r="K179" s="1"/>
    </row>
    <row r="180" spans="1:11" ht="13.2" x14ac:dyDescent="0.25">
      <c r="A180" s="1"/>
      <c r="B180" s="1"/>
      <c r="C180" s="1"/>
      <c r="D180" s="1"/>
      <c r="E180" s="1"/>
      <c r="F180" s="1"/>
      <c r="G180" s="18"/>
      <c r="H180" s="1"/>
      <c r="I180" s="1"/>
      <c r="J180" s="1"/>
      <c r="K180" s="1"/>
    </row>
    <row r="181" spans="1:11" ht="13.2" x14ac:dyDescent="0.25">
      <c r="A181" s="1"/>
      <c r="B181" s="1"/>
      <c r="C181" s="1"/>
      <c r="D181" s="1"/>
      <c r="E181" s="1"/>
      <c r="F181" s="1"/>
      <c r="G181" s="18"/>
      <c r="H181" s="1"/>
      <c r="I181" s="1"/>
      <c r="J181" s="1"/>
      <c r="K181" s="1"/>
    </row>
    <row r="182" spans="1:11" ht="13.2" x14ac:dyDescent="0.25">
      <c r="A182" s="1"/>
      <c r="B182" s="1"/>
      <c r="C182" s="1"/>
      <c r="D182" s="1"/>
      <c r="E182" s="1"/>
      <c r="F182" s="1"/>
      <c r="G182" s="18"/>
      <c r="H182" s="1"/>
      <c r="I182" s="1"/>
      <c r="J182" s="1"/>
      <c r="K182" s="1"/>
    </row>
    <row r="183" spans="1:11" ht="13.2" x14ac:dyDescent="0.25">
      <c r="A183" s="1"/>
      <c r="B183" s="1"/>
      <c r="C183" s="1"/>
      <c r="D183" s="1"/>
      <c r="E183" s="1"/>
      <c r="F183" s="1"/>
      <c r="G183" s="18"/>
      <c r="H183" s="1"/>
      <c r="I183" s="1"/>
      <c r="J183" s="1"/>
      <c r="K183" s="1"/>
    </row>
    <row r="184" spans="1:11" ht="13.2" x14ac:dyDescent="0.25">
      <c r="A184" s="1"/>
      <c r="B184" s="1"/>
      <c r="C184" s="1"/>
      <c r="D184" s="1"/>
      <c r="E184" s="1"/>
      <c r="F184" s="1"/>
      <c r="G184" s="18"/>
      <c r="H184" s="1"/>
      <c r="I184" s="1"/>
      <c r="J184" s="1"/>
      <c r="K184" s="1"/>
    </row>
    <row r="185" spans="1:11" ht="13.2" x14ac:dyDescent="0.25">
      <c r="A185" s="1"/>
      <c r="B185" s="1"/>
      <c r="C185" s="1"/>
      <c r="D185" s="1"/>
      <c r="E185" s="1"/>
      <c r="F185" s="1"/>
      <c r="G185" s="18"/>
      <c r="H185" s="1"/>
      <c r="I185" s="1"/>
      <c r="J185" s="1"/>
      <c r="K185" s="1"/>
    </row>
    <row r="186" spans="1:11" ht="13.2" x14ac:dyDescent="0.25">
      <c r="A186" s="1"/>
      <c r="B186" s="1"/>
      <c r="C186" s="1"/>
      <c r="D186" s="1"/>
      <c r="E186" s="1"/>
      <c r="F186" s="1"/>
      <c r="G186" s="18"/>
      <c r="H186" s="1"/>
      <c r="I186" s="1"/>
      <c r="J186" s="1"/>
      <c r="K186" s="1"/>
    </row>
    <row r="187" spans="1:11" ht="13.2" x14ac:dyDescent="0.25">
      <c r="A187" s="1"/>
      <c r="B187" s="1"/>
      <c r="C187" s="1"/>
      <c r="D187" s="1"/>
      <c r="E187" s="1"/>
      <c r="F187" s="1"/>
      <c r="G187" s="18"/>
      <c r="H187" s="1"/>
      <c r="I187" s="1"/>
      <c r="J187" s="1"/>
      <c r="K187" s="1"/>
    </row>
    <row r="188" spans="1:11" ht="13.2" x14ac:dyDescent="0.25">
      <c r="A188" s="1"/>
      <c r="B188" s="1"/>
      <c r="C188" s="1"/>
      <c r="D188" s="1"/>
      <c r="E188" s="1"/>
      <c r="F188" s="1"/>
      <c r="G188" s="18"/>
      <c r="H188" s="1"/>
      <c r="I188" s="1"/>
      <c r="J188" s="1"/>
      <c r="K188" s="1"/>
    </row>
    <row r="189" spans="1:11" ht="13.2" x14ac:dyDescent="0.25">
      <c r="A189" s="1"/>
      <c r="B189" s="1"/>
      <c r="C189" s="1"/>
      <c r="D189" s="1"/>
      <c r="E189" s="1"/>
      <c r="F189" s="1"/>
      <c r="G189" s="18"/>
      <c r="H189" s="1"/>
      <c r="I189" s="1"/>
      <c r="J189" s="1"/>
      <c r="K189" s="1"/>
    </row>
    <row r="190" spans="1:11" ht="13.2" x14ac:dyDescent="0.25">
      <c r="A190" s="1"/>
      <c r="B190" s="1"/>
      <c r="C190" s="1"/>
      <c r="D190" s="1"/>
      <c r="E190" s="1"/>
      <c r="F190" s="1"/>
      <c r="G190" s="18"/>
      <c r="H190" s="1"/>
      <c r="I190" s="1"/>
      <c r="J190" s="1"/>
      <c r="K190" s="1"/>
    </row>
    <row r="191" spans="1:11" ht="13.2" x14ac:dyDescent="0.25">
      <c r="A191" s="1"/>
      <c r="B191" s="1"/>
      <c r="C191" s="1"/>
      <c r="D191" s="1"/>
      <c r="E191" s="1"/>
      <c r="F191" s="1"/>
      <c r="G191" s="18"/>
      <c r="H191" s="1"/>
      <c r="I191" s="1"/>
      <c r="J191" s="1"/>
      <c r="K191" s="1"/>
    </row>
    <row r="192" spans="1:11" ht="13.2" x14ac:dyDescent="0.25">
      <c r="A192" s="1"/>
      <c r="B192" s="1"/>
      <c r="C192" s="1"/>
      <c r="D192" s="1"/>
      <c r="E192" s="1"/>
      <c r="F192" s="1"/>
      <c r="G192" s="18"/>
      <c r="H192" s="1"/>
      <c r="I192" s="1"/>
      <c r="J192" s="1"/>
      <c r="K192" s="1"/>
    </row>
    <row r="193" spans="1:11" ht="13.2" x14ac:dyDescent="0.25">
      <c r="A193" s="1"/>
      <c r="B193" s="1"/>
      <c r="C193" s="1"/>
      <c r="D193" s="1"/>
      <c r="E193" s="1"/>
      <c r="F193" s="1"/>
      <c r="G193" s="18"/>
      <c r="H193" s="1"/>
      <c r="I193" s="1"/>
      <c r="J193" s="1"/>
      <c r="K193" s="1"/>
    </row>
    <row r="194" spans="1:11" ht="13.2" x14ac:dyDescent="0.25">
      <c r="A194" s="1"/>
      <c r="B194" s="1"/>
      <c r="C194" s="1"/>
      <c r="D194" s="1"/>
      <c r="E194" s="1"/>
      <c r="F194" s="1"/>
      <c r="G194" s="18"/>
      <c r="H194" s="1"/>
      <c r="I194" s="1"/>
      <c r="J194" s="1"/>
      <c r="K194" s="1"/>
    </row>
    <row r="195" spans="1:11" ht="13.2" x14ac:dyDescent="0.25">
      <c r="A195" s="1"/>
      <c r="B195" s="1"/>
      <c r="C195" s="1"/>
      <c r="D195" s="1"/>
      <c r="E195" s="1"/>
      <c r="F195" s="1"/>
      <c r="G195" s="18"/>
      <c r="H195" s="1"/>
      <c r="I195" s="1"/>
      <c r="J195" s="1"/>
      <c r="K195" s="1"/>
    </row>
    <row r="196" spans="1:11" ht="13.2" x14ac:dyDescent="0.25">
      <c r="A196" s="1"/>
      <c r="B196" s="1"/>
      <c r="C196" s="1"/>
      <c r="D196" s="1"/>
      <c r="E196" s="1"/>
      <c r="F196" s="1"/>
      <c r="G196" s="18"/>
      <c r="H196" s="1"/>
      <c r="I196" s="1"/>
      <c r="J196" s="1"/>
      <c r="K196" s="1"/>
    </row>
    <row r="197" spans="1:11" ht="13.2" x14ac:dyDescent="0.25">
      <c r="A197" s="1"/>
      <c r="B197" s="1"/>
      <c r="C197" s="1"/>
      <c r="D197" s="1"/>
      <c r="E197" s="1"/>
      <c r="F197" s="1"/>
      <c r="G197" s="18"/>
      <c r="H197" s="1"/>
      <c r="I197" s="1"/>
      <c r="J197" s="1"/>
      <c r="K197" s="1"/>
    </row>
    <row r="198" spans="1:11" ht="13.2" x14ac:dyDescent="0.25">
      <c r="A198" s="1"/>
      <c r="B198" s="1"/>
      <c r="C198" s="1"/>
      <c r="D198" s="1"/>
      <c r="E198" s="1"/>
      <c r="F198" s="1"/>
      <c r="G198" s="18"/>
      <c r="H198" s="1"/>
      <c r="I198" s="1"/>
      <c r="J198" s="1"/>
      <c r="K198" s="1"/>
    </row>
    <row r="199" spans="1:11" ht="13.2" x14ac:dyDescent="0.25">
      <c r="A199" s="1"/>
      <c r="B199" s="1"/>
      <c r="C199" s="1"/>
      <c r="D199" s="1"/>
      <c r="E199" s="1"/>
      <c r="F199" s="1"/>
      <c r="G199" s="18"/>
      <c r="H199" s="1"/>
      <c r="I199" s="1"/>
      <c r="J199" s="1"/>
      <c r="K199" s="1"/>
    </row>
    <row r="200" spans="1:11" ht="13.2" x14ac:dyDescent="0.25">
      <c r="A200" s="1"/>
      <c r="B200" s="1"/>
      <c r="C200" s="1"/>
      <c r="D200" s="1"/>
      <c r="E200" s="1"/>
      <c r="F200" s="1"/>
      <c r="G200" s="18"/>
      <c r="H200" s="1"/>
      <c r="I200" s="1"/>
      <c r="J200" s="1"/>
      <c r="K200" s="1"/>
    </row>
    <row r="201" spans="1:11" ht="13.2" x14ac:dyDescent="0.25">
      <c r="A201" s="1"/>
      <c r="B201" s="1"/>
      <c r="C201" s="1"/>
      <c r="D201" s="1"/>
      <c r="E201" s="1"/>
      <c r="F201" s="1"/>
      <c r="G201" s="18"/>
      <c r="H201" s="1"/>
      <c r="I201" s="1"/>
      <c r="J201" s="1"/>
      <c r="K201" s="1"/>
    </row>
    <row r="202" spans="1:11" ht="13.2" x14ac:dyDescent="0.25">
      <c r="A202" s="1"/>
      <c r="B202" s="1"/>
      <c r="C202" s="1"/>
      <c r="D202" s="1"/>
      <c r="E202" s="1"/>
      <c r="F202" s="1"/>
      <c r="G202" s="18"/>
      <c r="H202" s="1"/>
      <c r="I202" s="1"/>
      <c r="J202" s="1"/>
      <c r="K202" s="1"/>
    </row>
    <row r="203" spans="1:11" ht="13.2" x14ac:dyDescent="0.25">
      <c r="A203" s="1"/>
      <c r="B203" s="1"/>
      <c r="C203" s="1"/>
      <c r="D203" s="1"/>
      <c r="E203" s="1"/>
      <c r="F203" s="1"/>
      <c r="G203" s="18"/>
      <c r="H203" s="1"/>
      <c r="I203" s="1"/>
      <c r="J203" s="1"/>
      <c r="K203" s="1"/>
    </row>
    <row r="204" spans="1:11" ht="13.2" x14ac:dyDescent="0.25">
      <c r="A204" s="1"/>
      <c r="B204" s="1"/>
      <c r="C204" s="1"/>
      <c r="D204" s="1"/>
      <c r="E204" s="1"/>
      <c r="F204" s="1"/>
      <c r="G204" s="18"/>
      <c r="H204" s="1"/>
      <c r="I204" s="1"/>
      <c r="J204" s="1"/>
      <c r="K204" s="1"/>
    </row>
    <row r="205" spans="1:11" ht="13.2" x14ac:dyDescent="0.25">
      <c r="A205" s="1"/>
      <c r="B205" s="1"/>
      <c r="C205" s="1"/>
      <c r="D205" s="1"/>
      <c r="E205" s="1"/>
      <c r="F205" s="1"/>
      <c r="G205" s="18"/>
      <c r="H205" s="1"/>
      <c r="I205" s="1"/>
      <c r="J205" s="1"/>
      <c r="K205" s="1"/>
    </row>
    <row r="206" spans="1:11" ht="13.2" x14ac:dyDescent="0.25">
      <c r="A206" s="1"/>
      <c r="B206" s="1"/>
      <c r="C206" s="1"/>
      <c r="D206" s="1"/>
      <c r="E206" s="1"/>
      <c r="F206" s="1"/>
      <c r="G206" s="18"/>
      <c r="H206" s="1"/>
      <c r="I206" s="1"/>
      <c r="J206" s="1"/>
      <c r="K206" s="1"/>
    </row>
    <row r="207" spans="1:11" ht="13.2" x14ac:dyDescent="0.25">
      <c r="A207" s="1"/>
      <c r="B207" s="1"/>
      <c r="C207" s="1"/>
      <c r="D207" s="1"/>
      <c r="E207" s="1"/>
      <c r="F207" s="1"/>
      <c r="G207" s="18"/>
      <c r="H207" s="1"/>
      <c r="I207" s="1"/>
      <c r="J207" s="1"/>
      <c r="K207" s="1"/>
    </row>
    <row r="208" spans="1:11" ht="13.2" x14ac:dyDescent="0.25">
      <c r="A208" s="1"/>
      <c r="B208" s="1"/>
      <c r="C208" s="1"/>
      <c r="D208" s="1"/>
      <c r="E208" s="1"/>
      <c r="F208" s="1"/>
      <c r="G208" s="18"/>
      <c r="H208" s="1"/>
      <c r="I208" s="1"/>
      <c r="J208" s="1"/>
      <c r="K208" s="1"/>
    </row>
    <row r="209" spans="1:11" ht="13.2" x14ac:dyDescent="0.25">
      <c r="A209" s="1"/>
      <c r="B209" s="1"/>
      <c r="C209" s="1"/>
      <c r="D209" s="1"/>
      <c r="E209" s="1"/>
      <c r="F209" s="1"/>
      <c r="G209" s="18"/>
      <c r="H209" s="1"/>
      <c r="I209" s="1"/>
      <c r="J209" s="1"/>
      <c r="K209" s="1"/>
    </row>
    <row r="210" spans="1:11" ht="13.2" x14ac:dyDescent="0.25">
      <c r="A210" s="1"/>
      <c r="B210" s="1"/>
      <c r="C210" s="1"/>
      <c r="D210" s="1"/>
      <c r="E210" s="1"/>
      <c r="F210" s="1"/>
      <c r="G210" s="18"/>
      <c r="H210" s="1"/>
      <c r="I210" s="1"/>
      <c r="J210" s="1"/>
      <c r="K210" s="1"/>
    </row>
    <row r="211" spans="1:11" ht="13.2" x14ac:dyDescent="0.25">
      <c r="A211" s="1"/>
      <c r="B211" s="1"/>
      <c r="C211" s="1"/>
      <c r="D211" s="1"/>
      <c r="E211" s="1"/>
      <c r="F211" s="1"/>
      <c r="G211" s="18"/>
      <c r="H211" s="1"/>
      <c r="I211" s="1"/>
      <c r="J211" s="1"/>
      <c r="K211" s="1"/>
    </row>
    <row r="212" spans="1:11" ht="13.2" x14ac:dyDescent="0.25">
      <c r="A212" s="1"/>
      <c r="B212" s="1"/>
      <c r="C212" s="1"/>
      <c r="D212" s="1"/>
      <c r="E212" s="1"/>
      <c r="F212" s="1"/>
      <c r="G212" s="18"/>
      <c r="H212" s="1"/>
      <c r="I212" s="1"/>
      <c r="J212" s="1"/>
      <c r="K212" s="1"/>
    </row>
    <row r="213" spans="1:11" ht="13.2" x14ac:dyDescent="0.25">
      <c r="A213" s="1"/>
      <c r="B213" s="1"/>
      <c r="C213" s="1"/>
      <c r="D213" s="1"/>
      <c r="E213" s="1"/>
      <c r="F213" s="1"/>
      <c r="G213" s="18"/>
      <c r="H213" s="1"/>
      <c r="I213" s="1"/>
      <c r="J213" s="1"/>
      <c r="K213" s="1"/>
    </row>
    <row r="214" spans="1:11" ht="13.2" x14ac:dyDescent="0.25">
      <c r="A214" s="1"/>
      <c r="B214" s="1"/>
      <c r="C214" s="1"/>
      <c r="D214" s="1"/>
      <c r="E214" s="1"/>
      <c r="F214" s="1"/>
      <c r="G214" s="18"/>
      <c r="H214" s="1"/>
      <c r="I214" s="1"/>
      <c r="J214" s="1"/>
      <c r="K214" s="1"/>
    </row>
    <row r="215" spans="1:11" ht="13.2" x14ac:dyDescent="0.25">
      <c r="A215" s="1"/>
      <c r="B215" s="1"/>
      <c r="C215" s="1"/>
      <c r="D215" s="1"/>
      <c r="E215" s="1"/>
      <c r="F215" s="1"/>
      <c r="G215" s="18"/>
      <c r="H215" s="1"/>
      <c r="I215" s="1"/>
      <c r="J215" s="1"/>
      <c r="K215" s="1"/>
    </row>
    <row r="216" spans="1:11" ht="13.2" x14ac:dyDescent="0.25">
      <c r="A216" s="1"/>
      <c r="B216" s="1"/>
      <c r="C216" s="1"/>
      <c r="D216" s="1"/>
      <c r="E216" s="1"/>
      <c r="F216" s="1"/>
      <c r="G216" s="18"/>
      <c r="H216" s="1"/>
      <c r="I216" s="1"/>
      <c r="J216" s="1"/>
      <c r="K216" s="1"/>
    </row>
    <row r="217" spans="1:11" ht="13.2" x14ac:dyDescent="0.25">
      <c r="A217" s="1"/>
      <c r="B217" s="1"/>
      <c r="C217" s="1"/>
      <c r="D217" s="1"/>
      <c r="E217" s="1"/>
      <c r="F217" s="1"/>
      <c r="G217" s="18"/>
      <c r="H217" s="1"/>
      <c r="I217" s="1"/>
      <c r="J217" s="1"/>
      <c r="K217" s="1"/>
    </row>
    <row r="218" spans="1:11" ht="13.2" x14ac:dyDescent="0.25">
      <c r="A218" s="1"/>
      <c r="B218" s="1"/>
      <c r="C218" s="1"/>
      <c r="D218" s="1"/>
      <c r="E218" s="1"/>
      <c r="F218" s="1"/>
      <c r="G218" s="18"/>
      <c r="H218" s="1"/>
      <c r="I218" s="1"/>
      <c r="J218" s="1"/>
      <c r="K218" s="1"/>
    </row>
    <row r="219" spans="1:11" ht="13.2" x14ac:dyDescent="0.25">
      <c r="A219" s="1"/>
      <c r="B219" s="1"/>
      <c r="C219" s="1"/>
      <c r="D219" s="1"/>
      <c r="E219" s="1"/>
      <c r="F219" s="1"/>
      <c r="G219" s="18"/>
      <c r="H219" s="1"/>
      <c r="I219" s="1"/>
      <c r="J219" s="1"/>
      <c r="K219" s="1"/>
    </row>
    <row r="220" spans="1:11" ht="13.2" x14ac:dyDescent="0.25">
      <c r="A220" s="1"/>
      <c r="B220" s="1"/>
      <c r="C220" s="1"/>
      <c r="D220" s="1"/>
      <c r="E220" s="1"/>
      <c r="F220" s="1"/>
      <c r="G220" s="18"/>
      <c r="H220" s="1"/>
      <c r="I220" s="1"/>
      <c r="J220" s="1"/>
      <c r="K220" s="1"/>
    </row>
    <row r="221" spans="1:11" ht="13.2" x14ac:dyDescent="0.25">
      <c r="A221" s="1"/>
      <c r="B221" s="1"/>
      <c r="C221" s="1"/>
      <c r="D221" s="1"/>
      <c r="E221" s="1"/>
      <c r="F221" s="1"/>
      <c r="G221" s="18"/>
      <c r="H221" s="1"/>
      <c r="I221" s="1"/>
      <c r="J221" s="1"/>
      <c r="K221" s="1"/>
    </row>
    <row r="222" spans="1:11" ht="13.2" x14ac:dyDescent="0.25">
      <c r="A222" s="1"/>
      <c r="B222" s="1"/>
      <c r="C222" s="1"/>
      <c r="D222" s="1"/>
      <c r="E222" s="1"/>
      <c r="F222" s="1"/>
      <c r="G222" s="18"/>
      <c r="H222" s="1"/>
      <c r="I222" s="1"/>
      <c r="J222" s="1"/>
      <c r="K222" s="1"/>
    </row>
    <row r="223" spans="1:11" ht="13.2" x14ac:dyDescent="0.25">
      <c r="A223" s="1"/>
      <c r="B223" s="1"/>
      <c r="C223" s="1"/>
      <c r="D223" s="1"/>
      <c r="E223" s="1"/>
      <c r="F223" s="1"/>
      <c r="G223" s="18"/>
      <c r="H223" s="1"/>
      <c r="I223" s="1"/>
      <c r="J223" s="1"/>
      <c r="K223" s="1"/>
    </row>
    <row r="224" spans="1:11" ht="13.2" x14ac:dyDescent="0.25">
      <c r="A224" s="1"/>
      <c r="B224" s="1"/>
      <c r="C224" s="1"/>
      <c r="D224" s="1"/>
      <c r="E224" s="1"/>
      <c r="F224" s="1"/>
      <c r="G224" s="18"/>
      <c r="H224" s="1"/>
      <c r="I224" s="1"/>
      <c r="J224" s="1"/>
      <c r="K224" s="1"/>
    </row>
    <row r="225" spans="1:11" ht="13.2" x14ac:dyDescent="0.25">
      <c r="A225" s="1"/>
      <c r="B225" s="1"/>
      <c r="C225" s="1"/>
      <c r="D225" s="1"/>
      <c r="E225" s="1"/>
      <c r="F225" s="1"/>
      <c r="G225" s="18"/>
      <c r="H225" s="1"/>
      <c r="I225" s="1"/>
      <c r="J225" s="1"/>
      <c r="K225" s="1"/>
    </row>
    <row r="226" spans="1:11" ht="13.2" x14ac:dyDescent="0.25">
      <c r="A226" s="1"/>
      <c r="B226" s="1"/>
      <c r="C226" s="1"/>
      <c r="D226" s="1"/>
      <c r="E226" s="1"/>
      <c r="F226" s="1"/>
      <c r="G226" s="18"/>
      <c r="H226" s="1"/>
      <c r="I226" s="1"/>
      <c r="J226" s="1"/>
      <c r="K226" s="1"/>
    </row>
    <row r="227" spans="1:11" ht="13.2" x14ac:dyDescent="0.25">
      <c r="A227" s="1"/>
      <c r="B227" s="1"/>
      <c r="C227" s="1"/>
      <c r="D227" s="1"/>
      <c r="E227" s="1"/>
      <c r="F227" s="1"/>
      <c r="G227" s="18"/>
      <c r="H227" s="1"/>
      <c r="I227" s="1"/>
      <c r="J227" s="1"/>
      <c r="K227" s="1"/>
    </row>
    <row r="228" spans="1:11" ht="13.2" x14ac:dyDescent="0.25">
      <c r="A228" s="1"/>
      <c r="B228" s="1"/>
      <c r="C228" s="1"/>
      <c r="D228" s="1"/>
      <c r="E228" s="1"/>
      <c r="F228" s="1"/>
      <c r="G228" s="18"/>
      <c r="H228" s="1"/>
      <c r="I228" s="1"/>
      <c r="J228" s="1"/>
      <c r="K228" s="1"/>
    </row>
    <row r="229" spans="1:11" ht="13.2" x14ac:dyDescent="0.25">
      <c r="A229" s="1"/>
      <c r="B229" s="1"/>
      <c r="C229" s="1"/>
      <c r="D229" s="1"/>
      <c r="E229" s="1"/>
      <c r="F229" s="1"/>
      <c r="G229" s="18"/>
      <c r="H229" s="1"/>
      <c r="I229" s="1"/>
      <c r="J229" s="1"/>
      <c r="K229" s="1"/>
    </row>
    <row r="230" spans="1:11" ht="13.2" x14ac:dyDescent="0.25">
      <c r="A230" s="1"/>
      <c r="B230" s="1"/>
      <c r="C230" s="1"/>
      <c r="D230" s="1"/>
      <c r="E230" s="1"/>
      <c r="F230" s="1"/>
      <c r="G230" s="18"/>
      <c r="H230" s="1"/>
      <c r="I230" s="1"/>
      <c r="J230" s="1"/>
      <c r="K230" s="1"/>
    </row>
    <row r="231" spans="1:11" ht="13.2" x14ac:dyDescent="0.25">
      <c r="A231" s="1"/>
      <c r="B231" s="1"/>
      <c r="C231" s="1"/>
      <c r="D231" s="1"/>
      <c r="E231" s="1"/>
      <c r="F231" s="1"/>
      <c r="G231" s="18"/>
      <c r="H231" s="1"/>
      <c r="I231" s="1"/>
      <c r="J231" s="1"/>
      <c r="K231" s="1"/>
    </row>
    <row r="232" spans="1:11" ht="13.2" x14ac:dyDescent="0.25">
      <c r="A232" s="1"/>
      <c r="B232" s="1"/>
      <c r="C232" s="1"/>
      <c r="D232" s="1"/>
      <c r="E232" s="1"/>
      <c r="F232" s="1"/>
      <c r="G232" s="18"/>
      <c r="H232" s="1"/>
      <c r="I232" s="1"/>
      <c r="J232" s="1"/>
      <c r="K232" s="1"/>
    </row>
    <row r="233" spans="1:11" ht="13.2" x14ac:dyDescent="0.25">
      <c r="A233" s="1"/>
      <c r="B233" s="1"/>
      <c r="C233" s="1"/>
      <c r="D233" s="1"/>
      <c r="E233" s="1"/>
      <c r="F233" s="1"/>
      <c r="G233" s="18"/>
      <c r="H233" s="1"/>
      <c r="I233" s="1"/>
      <c r="J233" s="1"/>
      <c r="K233" s="1"/>
    </row>
    <row r="234" spans="1:11" ht="13.2" x14ac:dyDescent="0.25">
      <c r="A234" s="1"/>
      <c r="B234" s="1"/>
      <c r="C234" s="1"/>
      <c r="D234" s="1"/>
      <c r="E234" s="1"/>
      <c r="F234" s="1"/>
      <c r="G234" s="18"/>
      <c r="H234" s="1"/>
      <c r="I234" s="1"/>
      <c r="J234" s="1"/>
      <c r="K234" s="1"/>
    </row>
    <row r="235" spans="1:11" ht="13.2" x14ac:dyDescent="0.25">
      <c r="A235" s="1"/>
      <c r="B235" s="1"/>
      <c r="C235" s="1"/>
      <c r="D235" s="1"/>
      <c r="E235" s="1"/>
      <c r="F235" s="1"/>
      <c r="G235" s="18"/>
      <c r="H235" s="1"/>
      <c r="I235" s="1"/>
      <c r="J235" s="1"/>
      <c r="K235" s="1"/>
    </row>
    <row r="236" spans="1:11" ht="13.2" x14ac:dyDescent="0.25">
      <c r="A236" s="1"/>
      <c r="B236" s="1"/>
      <c r="C236" s="1"/>
      <c r="D236" s="1"/>
      <c r="E236" s="1"/>
      <c r="F236" s="1"/>
      <c r="G236" s="18"/>
      <c r="H236" s="1"/>
      <c r="I236" s="1"/>
      <c r="J236" s="1"/>
      <c r="K236" s="1"/>
    </row>
    <row r="237" spans="1:11" ht="13.2" x14ac:dyDescent="0.25">
      <c r="A237" s="1"/>
      <c r="B237" s="1"/>
      <c r="C237" s="1"/>
      <c r="D237" s="1"/>
      <c r="E237" s="1"/>
      <c r="F237" s="1"/>
      <c r="G237" s="18"/>
      <c r="H237" s="1"/>
      <c r="I237" s="1"/>
      <c r="J237" s="1"/>
      <c r="K237" s="1"/>
    </row>
    <row r="238" spans="1:11" ht="13.2" x14ac:dyDescent="0.25">
      <c r="A238" s="1"/>
      <c r="B238" s="1"/>
      <c r="C238" s="1"/>
      <c r="D238" s="1"/>
      <c r="E238" s="1"/>
      <c r="F238" s="1"/>
      <c r="G238" s="18"/>
      <c r="H238" s="1"/>
      <c r="I238" s="1"/>
      <c r="J238" s="1"/>
      <c r="K238" s="1"/>
    </row>
    <row r="239" spans="1:11" ht="13.2" x14ac:dyDescent="0.25">
      <c r="A239" s="1"/>
      <c r="B239" s="1"/>
      <c r="C239" s="1"/>
      <c r="D239" s="1"/>
      <c r="E239" s="1"/>
      <c r="F239" s="1"/>
      <c r="G239" s="18"/>
      <c r="H239" s="1"/>
      <c r="I239" s="1"/>
      <c r="J239" s="1"/>
      <c r="K239" s="1"/>
    </row>
    <row r="240" spans="1:11" ht="13.2" x14ac:dyDescent="0.25">
      <c r="A240" s="1"/>
      <c r="B240" s="1"/>
      <c r="C240" s="1"/>
      <c r="D240" s="1"/>
      <c r="E240" s="1"/>
      <c r="F240" s="1"/>
      <c r="G240" s="18"/>
      <c r="H240" s="1"/>
      <c r="I240" s="1"/>
      <c r="J240" s="1"/>
      <c r="K240" s="1"/>
    </row>
    <row r="241" spans="1:11" ht="13.2" x14ac:dyDescent="0.25">
      <c r="A241" s="1"/>
      <c r="B241" s="1"/>
      <c r="C241" s="1"/>
      <c r="D241" s="1"/>
      <c r="E241" s="1"/>
      <c r="F241" s="1"/>
      <c r="G241" s="18"/>
      <c r="H241" s="1"/>
      <c r="I241" s="1"/>
      <c r="J241" s="1"/>
      <c r="K241" s="1"/>
    </row>
    <row r="242" spans="1:11" ht="13.2" x14ac:dyDescent="0.25">
      <c r="A242" s="1"/>
      <c r="B242" s="1"/>
      <c r="C242" s="1"/>
      <c r="D242" s="1"/>
      <c r="E242" s="1"/>
      <c r="F242" s="1"/>
      <c r="G242" s="18"/>
      <c r="H242" s="1"/>
      <c r="I242" s="1"/>
      <c r="J242" s="1"/>
      <c r="K242" s="1"/>
    </row>
    <row r="243" spans="1:11" ht="13.2" x14ac:dyDescent="0.25">
      <c r="A243" s="1"/>
      <c r="B243" s="1"/>
      <c r="C243" s="1"/>
      <c r="D243" s="1"/>
      <c r="E243" s="1"/>
      <c r="F243" s="1"/>
      <c r="G243" s="18"/>
      <c r="H243" s="1"/>
      <c r="I243" s="1"/>
      <c r="J243" s="1"/>
      <c r="K243" s="1"/>
    </row>
    <row r="244" spans="1:11" ht="13.2" x14ac:dyDescent="0.25">
      <c r="A244" s="1"/>
      <c r="B244" s="1"/>
      <c r="C244" s="1"/>
      <c r="D244" s="1"/>
      <c r="E244" s="1"/>
      <c r="F244" s="1"/>
      <c r="G244" s="18"/>
      <c r="H244" s="1"/>
      <c r="I244" s="1"/>
      <c r="J244" s="1"/>
      <c r="K244" s="1"/>
    </row>
    <row r="245" spans="1:11" ht="13.2" x14ac:dyDescent="0.25">
      <c r="A245" s="1"/>
      <c r="B245" s="1"/>
      <c r="C245" s="1"/>
      <c r="D245" s="1"/>
      <c r="E245" s="1"/>
      <c r="F245" s="1"/>
      <c r="G245" s="18"/>
      <c r="H245" s="1"/>
      <c r="I245" s="1"/>
      <c r="J245" s="1"/>
      <c r="K245" s="1"/>
    </row>
    <row r="246" spans="1:11" ht="13.2" x14ac:dyDescent="0.25">
      <c r="A246" s="1"/>
      <c r="B246" s="1"/>
      <c r="C246" s="1"/>
      <c r="D246" s="1"/>
      <c r="E246" s="1"/>
      <c r="F246" s="1"/>
      <c r="G246" s="18"/>
      <c r="H246" s="1"/>
      <c r="I246" s="1"/>
      <c r="J246" s="1"/>
      <c r="K246" s="1"/>
    </row>
    <row r="247" spans="1:11" ht="13.2" x14ac:dyDescent="0.25">
      <c r="A247" s="1"/>
      <c r="B247" s="1"/>
      <c r="C247" s="1"/>
      <c r="D247" s="1"/>
      <c r="E247" s="1"/>
      <c r="F247" s="1"/>
      <c r="G247" s="18"/>
      <c r="H247" s="1"/>
      <c r="I247" s="1"/>
      <c r="J247" s="1"/>
      <c r="K247" s="1"/>
    </row>
    <row r="248" spans="1:11" ht="13.2" x14ac:dyDescent="0.25">
      <c r="A248" s="1"/>
      <c r="B248" s="1"/>
      <c r="C248" s="1"/>
      <c r="D248" s="1"/>
      <c r="E248" s="1"/>
      <c r="F248" s="1"/>
      <c r="G248" s="18"/>
      <c r="H248" s="1"/>
      <c r="I248" s="1"/>
      <c r="J248" s="1"/>
      <c r="K248" s="1"/>
    </row>
    <row r="249" spans="1:11" ht="13.2" x14ac:dyDescent="0.25">
      <c r="A249" s="1"/>
      <c r="B249" s="1"/>
      <c r="C249" s="1"/>
      <c r="D249" s="1"/>
      <c r="E249" s="1"/>
      <c r="F249" s="1"/>
      <c r="G249" s="18"/>
      <c r="H249" s="1"/>
      <c r="I249" s="1"/>
      <c r="J249" s="1"/>
      <c r="K249" s="1"/>
    </row>
    <row r="250" spans="1:11" ht="13.2" x14ac:dyDescent="0.25">
      <c r="A250" s="1"/>
      <c r="B250" s="1"/>
      <c r="C250" s="1"/>
      <c r="D250" s="1"/>
      <c r="E250" s="1"/>
      <c r="F250" s="1"/>
      <c r="G250" s="18"/>
      <c r="H250" s="1"/>
      <c r="I250" s="1"/>
      <c r="J250" s="1"/>
      <c r="K250" s="1"/>
    </row>
    <row r="251" spans="1:11" ht="13.2" x14ac:dyDescent="0.25">
      <c r="A251" s="1"/>
      <c r="B251" s="1"/>
      <c r="C251" s="1"/>
      <c r="D251" s="1"/>
      <c r="E251" s="1"/>
      <c r="F251" s="1"/>
      <c r="G251" s="18"/>
      <c r="H251" s="1"/>
      <c r="I251" s="1"/>
      <c r="J251" s="1"/>
      <c r="K251" s="1"/>
    </row>
    <row r="252" spans="1:11" ht="13.2" x14ac:dyDescent="0.25">
      <c r="A252" s="1"/>
      <c r="B252" s="1"/>
      <c r="C252" s="1"/>
      <c r="D252" s="1"/>
      <c r="E252" s="1"/>
      <c r="F252" s="1"/>
      <c r="G252" s="18"/>
      <c r="H252" s="1"/>
      <c r="I252" s="1"/>
      <c r="J252" s="1"/>
      <c r="K252" s="1"/>
    </row>
    <row r="253" spans="1:11" ht="13.2" x14ac:dyDescent="0.25">
      <c r="A253" s="1"/>
      <c r="B253" s="1"/>
      <c r="C253" s="1"/>
      <c r="D253" s="1"/>
      <c r="E253" s="1"/>
      <c r="F253" s="1"/>
      <c r="G253" s="18"/>
      <c r="H253" s="1"/>
      <c r="I253" s="1"/>
      <c r="J253" s="1"/>
      <c r="K253" s="1"/>
    </row>
    <row r="254" spans="1:11" ht="13.2" x14ac:dyDescent="0.25">
      <c r="A254" s="1"/>
      <c r="B254" s="1"/>
      <c r="C254" s="1"/>
      <c r="D254" s="1"/>
      <c r="E254" s="1"/>
      <c r="F254" s="1"/>
      <c r="G254" s="18"/>
      <c r="H254" s="1"/>
      <c r="I254" s="1"/>
      <c r="J254" s="1"/>
      <c r="K254" s="1"/>
    </row>
    <row r="255" spans="1:11" ht="13.2" x14ac:dyDescent="0.25">
      <c r="A255" s="1"/>
      <c r="B255" s="1"/>
      <c r="C255" s="1"/>
      <c r="D255" s="1"/>
      <c r="E255" s="1"/>
      <c r="F255" s="1"/>
      <c r="G255" s="18"/>
      <c r="H255" s="1"/>
      <c r="I255" s="1"/>
      <c r="J255" s="1"/>
      <c r="K255" s="1"/>
    </row>
    <row r="256" spans="1:11" ht="13.2" x14ac:dyDescent="0.25">
      <c r="A256" s="1"/>
      <c r="B256" s="1"/>
      <c r="C256" s="1"/>
      <c r="D256" s="1"/>
      <c r="E256" s="1"/>
      <c r="F256" s="1"/>
      <c r="G256" s="18"/>
      <c r="H256" s="1"/>
      <c r="I256" s="1"/>
      <c r="J256" s="1"/>
      <c r="K256" s="1"/>
    </row>
    <row r="257" spans="1:11" ht="13.2" x14ac:dyDescent="0.25">
      <c r="A257" s="1"/>
      <c r="B257" s="1"/>
      <c r="C257" s="1"/>
      <c r="D257" s="1"/>
      <c r="E257" s="1"/>
      <c r="F257" s="1"/>
      <c r="G257" s="18"/>
      <c r="H257" s="1"/>
      <c r="I257" s="1"/>
      <c r="J257" s="1"/>
      <c r="K257" s="1"/>
    </row>
    <row r="258" spans="1:11" ht="13.2" x14ac:dyDescent="0.25">
      <c r="A258" s="1"/>
      <c r="B258" s="1"/>
      <c r="C258" s="1"/>
      <c r="D258" s="1"/>
      <c r="E258" s="1"/>
      <c r="F258" s="1"/>
      <c r="G258" s="18"/>
      <c r="H258" s="1"/>
      <c r="I258" s="1"/>
      <c r="J258" s="1"/>
      <c r="K258" s="1"/>
    </row>
    <row r="259" spans="1:11" ht="13.2" x14ac:dyDescent="0.25">
      <c r="A259" s="1"/>
      <c r="B259" s="1"/>
      <c r="C259" s="1"/>
      <c r="D259" s="1"/>
      <c r="E259" s="1"/>
      <c r="F259" s="1"/>
      <c r="G259" s="18"/>
      <c r="H259" s="1"/>
      <c r="I259" s="1"/>
      <c r="J259" s="1"/>
      <c r="K259" s="1"/>
    </row>
    <row r="260" spans="1:11" ht="13.2" x14ac:dyDescent="0.25">
      <c r="A260" s="1"/>
      <c r="B260" s="1"/>
      <c r="C260" s="1"/>
      <c r="D260" s="1"/>
      <c r="E260" s="1"/>
      <c r="F260" s="1"/>
      <c r="G260" s="18"/>
      <c r="H260" s="1"/>
      <c r="I260" s="1"/>
      <c r="J260" s="1"/>
      <c r="K260" s="1"/>
    </row>
    <row r="261" spans="1:11" ht="13.2" x14ac:dyDescent="0.25">
      <c r="A261" s="1"/>
      <c r="B261" s="1"/>
      <c r="C261" s="1"/>
      <c r="D261" s="1"/>
      <c r="E261" s="1"/>
      <c r="F261" s="1"/>
      <c r="G261" s="18"/>
      <c r="H261" s="1"/>
      <c r="I261" s="1"/>
      <c r="J261" s="1"/>
      <c r="K261" s="1"/>
    </row>
    <row r="262" spans="1:11" ht="13.2" x14ac:dyDescent="0.25">
      <c r="A262" s="1"/>
      <c r="B262" s="1"/>
      <c r="C262" s="1"/>
      <c r="D262" s="1"/>
      <c r="E262" s="1"/>
      <c r="F262" s="1"/>
      <c r="G262" s="18"/>
      <c r="H262" s="1"/>
      <c r="I262" s="1"/>
      <c r="J262" s="1"/>
      <c r="K262" s="1"/>
    </row>
    <row r="263" spans="1:11" ht="13.2" x14ac:dyDescent="0.25">
      <c r="A263" s="1"/>
      <c r="B263" s="1"/>
      <c r="C263" s="1"/>
      <c r="D263" s="1"/>
      <c r="E263" s="1"/>
      <c r="F263" s="1"/>
      <c r="G263" s="18"/>
      <c r="H263" s="1"/>
      <c r="I263" s="1"/>
      <c r="J263" s="1"/>
      <c r="K263" s="1"/>
    </row>
    <row r="264" spans="1:11" ht="13.2" x14ac:dyDescent="0.25">
      <c r="A264" s="1"/>
      <c r="B264" s="1"/>
      <c r="C264" s="1"/>
      <c r="D264" s="1"/>
      <c r="E264" s="1"/>
      <c r="F264" s="1"/>
      <c r="G264" s="18"/>
      <c r="H264" s="1"/>
      <c r="I264" s="1"/>
      <c r="J264" s="1"/>
      <c r="K264" s="1"/>
    </row>
    <row r="265" spans="1:11" ht="13.2" x14ac:dyDescent="0.25">
      <c r="A265" s="1"/>
      <c r="B265" s="1"/>
      <c r="C265" s="1"/>
      <c r="D265" s="1"/>
      <c r="E265" s="1"/>
      <c r="F265" s="1"/>
      <c r="G265" s="18"/>
      <c r="H265" s="1"/>
      <c r="I265" s="1"/>
      <c r="J265" s="1"/>
      <c r="K265" s="1"/>
    </row>
    <row r="266" spans="1:11" ht="13.2" x14ac:dyDescent="0.25">
      <c r="A266" s="1"/>
      <c r="B266" s="1"/>
      <c r="C266" s="1"/>
      <c r="D266" s="1"/>
      <c r="E266" s="1"/>
      <c r="F266" s="1"/>
      <c r="G266" s="18"/>
      <c r="H266" s="1"/>
      <c r="I266" s="1"/>
      <c r="J266" s="1"/>
      <c r="K266" s="1"/>
    </row>
    <row r="267" spans="1:11" ht="13.2" x14ac:dyDescent="0.25">
      <c r="A267" s="1"/>
      <c r="B267" s="1"/>
      <c r="C267" s="1"/>
      <c r="D267" s="1"/>
      <c r="E267" s="1"/>
      <c r="F267" s="1"/>
      <c r="G267" s="18"/>
      <c r="H267" s="1"/>
      <c r="I267" s="1"/>
      <c r="J267" s="1"/>
      <c r="K267" s="1"/>
    </row>
    <row r="268" spans="1:11" ht="13.2" x14ac:dyDescent="0.25">
      <c r="A268" s="1"/>
      <c r="B268" s="1"/>
      <c r="C268" s="1"/>
      <c r="D268" s="1"/>
      <c r="E268" s="1"/>
      <c r="F268" s="1"/>
      <c r="G268" s="18"/>
      <c r="H268" s="1"/>
      <c r="I268" s="1"/>
      <c r="J268" s="1"/>
      <c r="K268" s="1"/>
    </row>
    <row r="269" spans="1:11" ht="13.2" x14ac:dyDescent="0.25">
      <c r="A269" s="1"/>
      <c r="B269" s="1"/>
      <c r="C269" s="1"/>
      <c r="D269" s="1"/>
      <c r="E269" s="1"/>
      <c r="F269" s="1"/>
      <c r="G269" s="18"/>
      <c r="H269" s="1"/>
      <c r="I269" s="1"/>
      <c r="J269" s="1"/>
      <c r="K269" s="1"/>
    </row>
    <row r="270" spans="1:11" ht="13.2" x14ac:dyDescent="0.25">
      <c r="A270" s="1"/>
      <c r="B270" s="1"/>
      <c r="C270" s="1"/>
      <c r="D270" s="1"/>
      <c r="E270" s="1"/>
      <c r="F270" s="1"/>
      <c r="G270" s="18"/>
      <c r="H270" s="1"/>
      <c r="I270" s="1"/>
      <c r="J270" s="1"/>
      <c r="K270" s="1"/>
    </row>
    <row r="271" spans="1:11" ht="13.2" x14ac:dyDescent="0.25">
      <c r="A271" s="1"/>
      <c r="B271" s="1"/>
      <c r="C271" s="1"/>
      <c r="D271" s="1"/>
      <c r="E271" s="1"/>
      <c r="F271" s="1"/>
      <c r="G271" s="18"/>
      <c r="H271" s="1"/>
      <c r="I271" s="1"/>
      <c r="J271" s="1"/>
      <c r="K271" s="1"/>
    </row>
    <row r="272" spans="1:11" ht="13.2" x14ac:dyDescent="0.25">
      <c r="A272" s="1"/>
      <c r="B272" s="1"/>
      <c r="C272" s="1"/>
      <c r="D272" s="1"/>
      <c r="E272" s="1"/>
      <c r="F272" s="1"/>
      <c r="G272" s="18"/>
      <c r="H272" s="1"/>
      <c r="I272" s="1"/>
      <c r="J272" s="1"/>
      <c r="K272" s="1"/>
    </row>
    <row r="273" spans="1:11" ht="13.2" x14ac:dyDescent="0.25">
      <c r="A273" s="1"/>
      <c r="B273" s="1"/>
      <c r="C273" s="1"/>
      <c r="D273" s="1"/>
      <c r="E273" s="1"/>
      <c r="F273" s="1"/>
      <c r="G273" s="18"/>
      <c r="H273" s="1"/>
      <c r="I273" s="1"/>
      <c r="J273" s="1"/>
      <c r="K273" s="1"/>
    </row>
    <row r="274" spans="1:11" ht="13.2" x14ac:dyDescent="0.25">
      <c r="A274" s="1"/>
      <c r="B274" s="1"/>
      <c r="C274" s="1"/>
      <c r="D274" s="1"/>
      <c r="E274" s="1"/>
      <c r="F274" s="1"/>
      <c r="G274" s="18"/>
      <c r="H274" s="1"/>
      <c r="I274" s="1"/>
      <c r="J274" s="1"/>
      <c r="K274" s="1"/>
    </row>
    <row r="275" spans="1:11" ht="13.2" x14ac:dyDescent="0.25">
      <c r="A275" s="1"/>
      <c r="B275" s="1"/>
      <c r="C275" s="1"/>
      <c r="D275" s="1"/>
      <c r="E275" s="1"/>
      <c r="F275" s="1"/>
      <c r="G275" s="18"/>
      <c r="H275" s="1"/>
      <c r="I275" s="1"/>
      <c r="J275" s="1"/>
      <c r="K275" s="1"/>
    </row>
    <row r="276" spans="1:11" ht="13.2" x14ac:dyDescent="0.25">
      <c r="A276" s="1"/>
      <c r="B276" s="1"/>
      <c r="C276" s="1"/>
      <c r="D276" s="1"/>
      <c r="E276" s="1"/>
      <c r="F276" s="1"/>
      <c r="G276" s="18"/>
      <c r="H276" s="1"/>
      <c r="I276" s="1"/>
      <c r="J276" s="1"/>
      <c r="K276" s="1"/>
    </row>
    <row r="277" spans="1:11" ht="13.2" x14ac:dyDescent="0.25">
      <c r="A277" s="1"/>
      <c r="B277" s="1"/>
      <c r="C277" s="1"/>
      <c r="D277" s="1"/>
      <c r="E277" s="1"/>
      <c r="F277" s="1"/>
      <c r="G277" s="18"/>
      <c r="H277" s="1"/>
      <c r="I277" s="1"/>
      <c r="J277" s="1"/>
      <c r="K277" s="1"/>
    </row>
    <row r="278" spans="1:11" ht="13.2" x14ac:dyDescent="0.25">
      <c r="A278" s="1"/>
      <c r="B278" s="1"/>
      <c r="C278" s="1"/>
      <c r="D278" s="1"/>
      <c r="E278" s="1"/>
      <c r="F278" s="1"/>
      <c r="G278" s="18"/>
      <c r="H278" s="1"/>
      <c r="I278" s="1"/>
      <c r="J278" s="1"/>
      <c r="K278" s="1"/>
    </row>
    <row r="279" spans="1:11" ht="13.2" x14ac:dyDescent="0.25">
      <c r="A279" s="1"/>
      <c r="B279" s="1"/>
      <c r="C279" s="1"/>
      <c r="D279" s="1"/>
      <c r="E279" s="1"/>
      <c r="F279" s="1"/>
      <c r="G279" s="18"/>
      <c r="H279" s="1"/>
      <c r="I279" s="1"/>
      <c r="J279" s="1"/>
      <c r="K279" s="1"/>
    </row>
    <row r="280" spans="1:11" ht="13.2" x14ac:dyDescent="0.25">
      <c r="A280" s="1"/>
      <c r="B280" s="1"/>
      <c r="C280" s="1"/>
      <c r="D280" s="1"/>
      <c r="E280" s="1"/>
      <c r="F280" s="1"/>
      <c r="G280" s="18"/>
      <c r="H280" s="1"/>
      <c r="I280" s="1"/>
      <c r="J280" s="1"/>
      <c r="K280" s="1"/>
    </row>
    <row r="281" spans="1:11" ht="13.2" x14ac:dyDescent="0.25">
      <c r="A281" s="1"/>
      <c r="B281" s="1"/>
      <c r="C281" s="1"/>
      <c r="D281" s="1"/>
      <c r="E281" s="1"/>
      <c r="F281" s="1"/>
      <c r="G281" s="18"/>
      <c r="H281" s="1"/>
      <c r="I281" s="1"/>
      <c r="J281" s="1"/>
      <c r="K281" s="1"/>
    </row>
    <row r="282" spans="1:11" ht="13.2" x14ac:dyDescent="0.25">
      <c r="A282" s="1"/>
      <c r="B282" s="1"/>
      <c r="C282" s="1"/>
      <c r="D282" s="1"/>
      <c r="E282" s="1"/>
      <c r="F282" s="1"/>
      <c r="G282" s="18"/>
      <c r="H282" s="1"/>
      <c r="I282" s="1"/>
      <c r="J282" s="1"/>
      <c r="K282" s="1"/>
    </row>
    <row r="283" spans="1:11" ht="13.2" x14ac:dyDescent="0.25">
      <c r="A283" s="1"/>
      <c r="B283" s="1"/>
      <c r="C283" s="1"/>
      <c r="D283" s="1"/>
      <c r="E283" s="1"/>
      <c r="F283" s="1"/>
      <c r="G283" s="18"/>
      <c r="H283" s="1"/>
      <c r="I283" s="1"/>
      <c r="J283" s="1"/>
      <c r="K283" s="1"/>
    </row>
    <row r="284" spans="1:11" ht="13.2" x14ac:dyDescent="0.25">
      <c r="A284" s="1"/>
      <c r="B284" s="1"/>
      <c r="C284" s="1"/>
      <c r="D284" s="1"/>
      <c r="E284" s="1"/>
      <c r="F284" s="1"/>
      <c r="G284" s="18"/>
      <c r="H284" s="1"/>
      <c r="I284" s="1"/>
      <c r="J284" s="1"/>
      <c r="K284" s="1"/>
    </row>
    <row r="285" spans="1:11" ht="13.2" x14ac:dyDescent="0.25">
      <c r="A285" s="1"/>
      <c r="B285" s="1"/>
      <c r="C285" s="1"/>
      <c r="D285" s="1"/>
      <c r="E285" s="1"/>
      <c r="F285" s="1"/>
      <c r="G285" s="18"/>
      <c r="H285" s="1"/>
      <c r="I285" s="1"/>
      <c r="J285" s="1"/>
      <c r="K285" s="1"/>
    </row>
    <row r="286" spans="1:11" ht="13.2" x14ac:dyDescent="0.25">
      <c r="A286" s="1"/>
      <c r="B286" s="1"/>
      <c r="C286" s="1"/>
      <c r="D286" s="1"/>
      <c r="E286" s="1"/>
      <c r="F286" s="1"/>
      <c r="G286" s="18"/>
      <c r="H286" s="1"/>
      <c r="I286" s="1"/>
      <c r="J286" s="1"/>
      <c r="K286" s="1"/>
    </row>
    <row r="287" spans="1:11" ht="13.2" x14ac:dyDescent="0.25">
      <c r="A287" s="1"/>
      <c r="B287" s="1"/>
      <c r="C287" s="1"/>
      <c r="D287" s="1"/>
      <c r="E287" s="1"/>
      <c r="F287" s="1"/>
      <c r="G287" s="18"/>
      <c r="H287" s="1"/>
      <c r="I287" s="1"/>
      <c r="J287" s="1"/>
      <c r="K287" s="1"/>
    </row>
    <row r="288" spans="1:11" ht="13.2" x14ac:dyDescent="0.25">
      <c r="A288" s="1"/>
      <c r="B288" s="1"/>
      <c r="C288" s="1"/>
      <c r="D288" s="1"/>
      <c r="E288" s="1"/>
      <c r="F288" s="1"/>
      <c r="G288" s="18"/>
      <c r="H288" s="1"/>
      <c r="I288" s="1"/>
      <c r="J288" s="1"/>
      <c r="K288" s="1"/>
    </row>
    <row r="289" spans="1:11" ht="13.2" x14ac:dyDescent="0.25">
      <c r="A289" s="1"/>
      <c r="B289" s="1"/>
      <c r="C289" s="1"/>
      <c r="D289" s="1"/>
      <c r="E289" s="1"/>
      <c r="F289" s="1"/>
      <c r="G289" s="18"/>
      <c r="H289" s="1"/>
      <c r="I289" s="1"/>
      <c r="J289" s="1"/>
      <c r="K289" s="1"/>
    </row>
    <row r="290" spans="1:11" ht="13.2" x14ac:dyDescent="0.25">
      <c r="A290" s="1"/>
      <c r="B290" s="1"/>
      <c r="C290" s="1"/>
      <c r="D290" s="1"/>
      <c r="E290" s="1"/>
      <c r="F290" s="1"/>
      <c r="G290" s="18"/>
      <c r="H290" s="1"/>
      <c r="I290" s="1"/>
      <c r="J290" s="1"/>
      <c r="K290" s="1"/>
    </row>
    <row r="291" spans="1:11" ht="13.2" x14ac:dyDescent="0.25">
      <c r="A291" s="1"/>
      <c r="B291" s="1"/>
      <c r="C291" s="1"/>
      <c r="D291" s="1"/>
      <c r="E291" s="1"/>
      <c r="F291" s="1"/>
      <c r="G291" s="18"/>
      <c r="H291" s="1"/>
      <c r="I291" s="1"/>
      <c r="J291" s="1"/>
      <c r="K291" s="1"/>
    </row>
    <row r="292" spans="1:11" ht="13.2" x14ac:dyDescent="0.25">
      <c r="A292" s="1"/>
      <c r="B292" s="1"/>
      <c r="C292" s="1"/>
      <c r="D292" s="1"/>
      <c r="E292" s="1"/>
      <c r="F292" s="1"/>
      <c r="G292" s="18"/>
      <c r="H292" s="1"/>
      <c r="I292" s="1"/>
      <c r="J292" s="1"/>
      <c r="K292" s="1"/>
    </row>
    <row r="293" spans="1:11" ht="13.2" x14ac:dyDescent="0.25">
      <c r="A293" s="1"/>
      <c r="B293" s="1"/>
      <c r="C293" s="1"/>
      <c r="D293" s="1"/>
      <c r="E293" s="1"/>
      <c r="F293" s="1"/>
      <c r="G293" s="18"/>
      <c r="H293" s="1"/>
      <c r="I293" s="1"/>
      <c r="J293" s="1"/>
      <c r="K293" s="1"/>
    </row>
    <row r="294" spans="1:11" ht="13.2" x14ac:dyDescent="0.25">
      <c r="A294" s="1"/>
      <c r="B294" s="1"/>
      <c r="C294" s="1"/>
      <c r="D294" s="1"/>
      <c r="E294" s="1"/>
      <c r="F294" s="1"/>
      <c r="G294" s="18"/>
      <c r="H294" s="1"/>
      <c r="I294" s="1"/>
      <c r="J294" s="1"/>
      <c r="K294" s="1"/>
    </row>
    <row r="295" spans="1:11" ht="13.2" x14ac:dyDescent="0.25">
      <c r="A295" s="1"/>
      <c r="B295" s="1"/>
      <c r="C295" s="1"/>
      <c r="D295" s="1"/>
      <c r="E295" s="1"/>
      <c r="F295" s="1"/>
      <c r="G295" s="18"/>
      <c r="H295" s="1"/>
      <c r="I295" s="1"/>
      <c r="J295" s="1"/>
      <c r="K295" s="1"/>
    </row>
    <row r="296" spans="1:11" ht="13.2" x14ac:dyDescent="0.25">
      <c r="A296" s="1"/>
      <c r="B296" s="1"/>
      <c r="C296" s="1"/>
      <c r="D296" s="1"/>
      <c r="E296" s="1"/>
      <c r="F296" s="1"/>
      <c r="G296" s="18"/>
      <c r="H296" s="1"/>
      <c r="I296" s="1"/>
      <c r="J296" s="1"/>
      <c r="K296" s="1"/>
    </row>
    <row r="297" spans="1:11" ht="13.2" x14ac:dyDescent="0.25">
      <c r="A297" s="1"/>
      <c r="B297" s="1"/>
      <c r="C297" s="1"/>
      <c r="D297" s="1"/>
      <c r="E297" s="1"/>
      <c r="F297" s="1"/>
      <c r="G297" s="18"/>
      <c r="H297" s="1"/>
      <c r="I297" s="1"/>
      <c r="J297" s="1"/>
      <c r="K297" s="1"/>
    </row>
    <row r="298" spans="1:11" ht="13.2" x14ac:dyDescent="0.25">
      <c r="A298" s="1"/>
      <c r="B298" s="1"/>
      <c r="C298" s="1"/>
      <c r="D298" s="1"/>
      <c r="E298" s="1"/>
      <c r="F298" s="1"/>
      <c r="G298" s="18"/>
      <c r="H298" s="1"/>
      <c r="I298" s="1"/>
      <c r="J298" s="1"/>
      <c r="K298" s="1"/>
    </row>
    <row r="299" spans="1:11" ht="13.2" x14ac:dyDescent="0.25">
      <c r="A299" s="1"/>
      <c r="B299" s="1"/>
      <c r="C299" s="1"/>
      <c r="D299" s="1"/>
      <c r="E299" s="1"/>
      <c r="F299" s="1"/>
      <c r="G299" s="18"/>
      <c r="H299" s="1"/>
      <c r="I299" s="1"/>
      <c r="J299" s="1"/>
      <c r="K299" s="1"/>
    </row>
    <row r="300" spans="1:11" ht="13.2" x14ac:dyDescent="0.25">
      <c r="A300" s="1"/>
      <c r="B300" s="1"/>
      <c r="C300" s="1"/>
      <c r="D300" s="1"/>
      <c r="E300" s="1"/>
      <c r="F300" s="1"/>
      <c r="G300" s="18"/>
      <c r="H300" s="1"/>
      <c r="I300" s="1"/>
      <c r="J300" s="1"/>
      <c r="K300" s="1"/>
    </row>
    <row r="301" spans="1:11" ht="13.2" x14ac:dyDescent="0.25">
      <c r="A301" s="1"/>
      <c r="B301" s="1"/>
      <c r="C301" s="1"/>
      <c r="D301" s="1"/>
      <c r="E301" s="1"/>
      <c r="F301" s="1"/>
      <c r="G301" s="18"/>
      <c r="H301" s="1"/>
      <c r="I301" s="1"/>
      <c r="J301" s="1"/>
      <c r="K301" s="1"/>
    </row>
    <row r="302" spans="1:11" ht="13.2" x14ac:dyDescent="0.25">
      <c r="A302" s="1"/>
      <c r="B302" s="1"/>
      <c r="C302" s="1"/>
      <c r="D302" s="1"/>
      <c r="E302" s="1"/>
      <c r="F302" s="1"/>
      <c r="G302" s="18"/>
      <c r="H302" s="1"/>
      <c r="I302" s="1"/>
      <c r="J302" s="1"/>
      <c r="K302" s="1"/>
    </row>
    <row r="303" spans="1:11" ht="13.2" x14ac:dyDescent="0.25">
      <c r="A303" s="1"/>
      <c r="B303" s="1"/>
      <c r="C303" s="1"/>
      <c r="D303" s="1"/>
      <c r="E303" s="1"/>
      <c r="F303" s="1"/>
      <c r="G303" s="18"/>
      <c r="H303" s="1"/>
      <c r="I303" s="1"/>
      <c r="J303" s="1"/>
      <c r="K303" s="1"/>
    </row>
    <row r="304" spans="1:11" ht="13.2" x14ac:dyDescent="0.25">
      <c r="A304" s="1"/>
      <c r="B304" s="1"/>
      <c r="C304" s="1"/>
      <c r="D304" s="1"/>
      <c r="E304" s="1"/>
      <c r="F304" s="1"/>
      <c r="G304" s="18"/>
      <c r="H304" s="1"/>
      <c r="I304" s="1"/>
      <c r="J304" s="1"/>
      <c r="K304" s="1"/>
    </row>
    <row r="305" spans="1:11" ht="13.2" x14ac:dyDescent="0.25">
      <c r="A305" s="1"/>
      <c r="B305" s="1"/>
      <c r="C305" s="1"/>
      <c r="D305" s="1"/>
      <c r="E305" s="1"/>
      <c r="F305" s="1"/>
      <c r="G305" s="18"/>
      <c r="H305" s="1"/>
      <c r="I305" s="1"/>
      <c r="J305" s="1"/>
      <c r="K305" s="1"/>
    </row>
    <row r="306" spans="1:11" ht="13.2" x14ac:dyDescent="0.25">
      <c r="A306" s="1"/>
      <c r="B306" s="1"/>
      <c r="C306" s="1"/>
      <c r="D306" s="1"/>
      <c r="E306" s="1"/>
      <c r="F306" s="1"/>
      <c r="G306" s="18"/>
      <c r="H306" s="1"/>
      <c r="I306" s="1"/>
      <c r="J306" s="1"/>
      <c r="K306" s="1"/>
    </row>
    <row r="307" spans="1:11" ht="13.2" x14ac:dyDescent="0.25">
      <c r="A307" s="1"/>
      <c r="B307" s="1"/>
      <c r="C307" s="1"/>
      <c r="D307" s="1"/>
      <c r="E307" s="1"/>
      <c r="F307" s="1"/>
      <c r="G307" s="18"/>
      <c r="H307" s="1"/>
      <c r="I307" s="1"/>
      <c r="J307" s="1"/>
      <c r="K307" s="1"/>
    </row>
    <row r="308" spans="1:11" ht="13.2" x14ac:dyDescent="0.25">
      <c r="A308" s="1"/>
      <c r="B308" s="1"/>
      <c r="C308" s="1"/>
      <c r="D308" s="1"/>
      <c r="E308" s="1"/>
      <c r="F308" s="1"/>
      <c r="G308" s="18"/>
      <c r="H308" s="1"/>
      <c r="I308" s="1"/>
      <c r="J308" s="1"/>
      <c r="K308" s="1"/>
    </row>
    <row r="309" spans="1:11" ht="13.2" x14ac:dyDescent="0.25">
      <c r="A309" s="1"/>
      <c r="B309" s="1"/>
      <c r="C309" s="1"/>
      <c r="D309" s="1"/>
      <c r="E309" s="1"/>
      <c r="F309" s="1"/>
      <c r="G309" s="18"/>
      <c r="H309" s="1"/>
      <c r="I309" s="1"/>
      <c r="J309" s="1"/>
      <c r="K309" s="1"/>
    </row>
    <row r="310" spans="1:11" ht="13.2" x14ac:dyDescent="0.25">
      <c r="A310" s="1"/>
      <c r="B310" s="1"/>
      <c r="C310" s="1"/>
      <c r="D310" s="1"/>
      <c r="E310" s="1"/>
      <c r="F310" s="1"/>
      <c r="G310" s="18"/>
      <c r="H310" s="1"/>
      <c r="I310" s="1"/>
      <c r="J310" s="1"/>
      <c r="K310" s="1"/>
    </row>
    <row r="311" spans="1:11" ht="13.2" x14ac:dyDescent="0.25">
      <c r="A311" s="1"/>
      <c r="B311" s="1"/>
      <c r="C311" s="1"/>
      <c r="D311" s="1"/>
      <c r="E311" s="1"/>
      <c r="F311" s="1"/>
      <c r="G311" s="18"/>
      <c r="H311" s="1"/>
      <c r="I311" s="1"/>
      <c r="J311" s="1"/>
      <c r="K311" s="1"/>
    </row>
    <row r="312" spans="1:11" ht="13.2" x14ac:dyDescent="0.25">
      <c r="A312" s="1"/>
      <c r="B312" s="1"/>
      <c r="C312" s="1"/>
      <c r="D312" s="1"/>
      <c r="E312" s="1"/>
      <c r="F312" s="1"/>
      <c r="G312" s="18"/>
      <c r="H312" s="1"/>
      <c r="I312" s="1"/>
      <c r="J312" s="1"/>
      <c r="K312" s="1"/>
    </row>
    <row r="313" spans="1:11" ht="13.2" x14ac:dyDescent="0.25">
      <c r="A313" s="1"/>
      <c r="B313" s="1"/>
      <c r="C313" s="1"/>
      <c r="D313" s="1"/>
      <c r="E313" s="1"/>
      <c r="F313" s="1"/>
      <c r="G313" s="18"/>
      <c r="H313" s="1"/>
      <c r="I313" s="1"/>
      <c r="J313" s="1"/>
      <c r="K313" s="1"/>
    </row>
    <row r="314" spans="1:11" ht="13.2" x14ac:dyDescent="0.25">
      <c r="A314" s="1"/>
      <c r="B314" s="1"/>
      <c r="C314" s="1"/>
      <c r="D314" s="1"/>
      <c r="E314" s="1"/>
      <c r="F314" s="1"/>
      <c r="G314" s="18"/>
      <c r="H314" s="1"/>
      <c r="I314" s="1"/>
      <c r="J314" s="1"/>
      <c r="K314" s="1"/>
    </row>
    <row r="315" spans="1:11" ht="13.2" x14ac:dyDescent="0.25">
      <c r="A315" s="1"/>
      <c r="B315" s="1"/>
      <c r="C315" s="1"/>
      <c r="D315" s="1"/>
      <c r="E315" s="1"/>
      <c r="F315" s="1"/>
      <c r="G315" s="18"/>
      <c r="H315" s="1"/>
      <c r="I315" s="1"/>
      <c r="J315" s="1"/>
      <c r="K315" s="1"/>
    </row>
    <row r="316" spans="1:11" ht="13.2" x14ac:dyDescent="0.25">
      <c r="A316" s="1"/>
      <c r="B316" s="1"/>
      <c r="C316" s="1"/>
      <c r="D316" s="1"/>
      <c r="E316" s="1"/>
      <c r="F316" s="1"/>
      <c r="G316" s="18"/>
      <c r="H316" s="1"/>
      <c r="I316" s="1"/>
      <c r="J316" s="1"/>
      <c r="K316" s="1"/>
    </row>
    <row r="317" spans="1:11" ht="13.2" x14ac:dyDescent="0.25">
      <c r="A317" s="1"/>
      <c r="B317" s="1"/>
      <c r="C317" s="1"/>
      <c r="D317" s="1"/>
      <c r="E317" s="1"/>
      <c r="F317" s="1"/>
      <c r="G317" s="18"/>
      <c r="H317" s="1"/>
      <c r="I317" s="1"/>
      <c r="J317" s="1"/>
      <c r="K317" s="1"/>
    </row>
    <row r="318" spans="1:11" ht="13.2" x14ac:dyDescent="0.25">
      <c r="A318" s="1"/>
      <c r="B318" s="1"/>
      <c r="C318" s="1"/>
      <c r="D318" s="1"/>
      <c r="E318" s="1"/>
      <c r="F318" s="1"/>
      <c r="G318" s="18"/>
      <c r="H318" s="1"/>
      <c r="I318" s="1"/>
      <c r="J318" s="1"/>
      <c r="K318" s="1"/>
    </row>
    <row r="319" spans="1:11" ht="13.2" x14ac:dyDescent="0.25">
      <c r="A319" s="1"/>
      <c r="B319" s="1"/>
      <c r="C319" s="1"/>
      <c r="D319" s="1"/>
      <c r="E319" s="1"/>
      <c r="F319" s="1"/>
      <c r="G319" s="18"/>
      <c r="H319" s="1"/>
      <c r="I319" s="1"/>
      <c r="J319" s="1"/>
      <c r="K319" s="1"/>
    </row>
    <row r="320" spans="1:11" ht="13.2" x14ac:dyDescent="0.25">
      <c r="A320" s="1"/>
      <c r="B320" s="1"/>
      <c r="C320" s="1"/>
      <c r="D320" s="1"/>
      <c r="E320" s="1"/>
      <c r="F320" s="1"/>
      <c r="G320" s="18"/>
      <c r="H320" s="1"/>
      <c r="I320" s="1"/>
      <c r="J320" s="1"/>
      <c r="K320" s="1"/>
    </row>
    <row r="321" spans="1:11" ht="13.2" x14ac:dyDescent="0.25">
      <c r="A321" s="1"/>
      <c r="B321" s="1"/>
      <c r="C321" s="1"/>
      <c r="D321" s="1"/>
      <c r="E321" s="1"/>
      <c r="F321" s="1"/>
      <c r="G321" s="18"/>
      <c r="H321" s="1"/>
      <c r="I321" s="1"/>
      <c r="J321" s="1"/>
      <c r="K321" s="1"/>
    </row>
    <row r="322" spans="1:11" ht="13.2" x14ac:dyDescent="0.25">
      <c r="A322" s="1"/>
      <c r="B322" s="1"/>
      <c r="C322" s="1"/>
      <c r="D322" s="1"/>
      <c r="E322" s="1"/>
      <c r="F322" s="1"/>
      <c r="G322" s="18"/>
      <c r="H322" s="1"/>
      <c r="I322" s="1"/>
      <c r="J322" s="1"/>
      <c r="K322" s="1"/>
    </row>
    <row r="323" spans="1:11" ht="13.2" x14ac:dyDescent="0.25">
      <c r="A323" s="1"/>
      <c r="B323" s="1"/>
      <c r="C323" s="1"/>
      <c r="D323" s="1"/>
      <c r="E323" s="1"/>
      <c r="F323" s="1"/>
      <c r="G323" s="18"/>
      <c r="H323" s="1"/>
      <c r="I323" s="1"/>
      <c r="J323" s="1"/>
      <c r="K323" s="1"/>
    </row>
    <row r="324" spans="1:11" ht="13.2" x14ac:dyDescent="0.25">
      <c r="A324" s="1"/>
      <c r="B324" s="1"/>
      <c r="C324" s="1"/>
      <c r="D324" s="1"/>
      <c r="E324" s="1"/>
      <c r="F324" s="1"/>
      <c r="G324" s="18"/>
      <c r="H324" s="1"/>
      <c r="I324" s="1"/>
      <c r="J324" s="1"/>
      <c r="K324" s="1"/>
    </row>
    <row r="325" spans="1:11" ht="13.2" x14ac:dyDescent="0.25">
      <c r="A325" s="1"/>
      <c r="B325" s="1"/>
      <c r="C325" s="1"/>
      <c r="D325" s="1"/>
      <c r="E325" s="1"/>
      <c r="F325" s="1"/>
      <c r="G325" s="18"/>
      <c r="H325" s="1"/>
      <c r="I325" s="1"/>
      <c r="J325" s="1"/>
      <c r="K325" s="1"/>
    </row>
    <row r="326" spans="1:11" ht="13.2" x14ac:dyDescent="0.25">
      <c r="A326" s="1"/>
      <c r="B326" s="1"/>
      <c r="C326" s="1"/>
      <c r="D326" s="1"/>
      <c r="E326" s="1"/>
      <c r="F326" s="1"/>
      <c r="G326" s="18"/>
      <c r="H326" s="1"/>
      <c r="I326" s="1"/>
      <c r="J326" s="1"/>
      <c r="K326" s="1"/>
    </row>
    <row r="327" spans="1:11" ht="13.2" x14ac:dyDescent="0.25">
      <c r="A327" s="1"/>
      <c r="B327" s="1"/>
      <c r="C327" s="1"/>
      <c r="D327" s="1"/>
      <c r="E327" s="1"/>
      <c r="F327" s="1"/>
      <c r="G327" s="18"/>
      <c r="H327" s="1"/>
      <c r="I327" s="1"/>
      <c r="J327" s="1"/>
      <c r="K327" s="1"/>
    </row>
    <row r="328" spans="1:11" ht="13.2" x14ac:dyDescent="0.25">
      <c r="A328" s="1"/>
      <c r="B328" s="1"/>
      <c r="C328" s="1"/>
      <c r="D328" s="1"/>
      <c r="E328" s="1"/>
      <c r="F328" s="1"/>
      <c r="G328" s="18"/>
      <c r="H328" s="1"/>
      <c r="I328" s="1"/>
      <c r="J328" s="1"/>
      <c r="K328" s="1"/>
    </row>
    <row r="329" spans="1:11" ht="13.2" x14ac:dyDescent="0.25">
      <c r="A329" s="1"/>
      <c r="B329" s="1"/>
      <c r="C329" s="1"/>
      <c r="D329" s="1"/>
      <c r="E329" s="1"/>
      <c r="F329" s="1"/>
      <c r="G329" s="18"/>
      <c r="H329" s="1"/>
      <c r="I329" s="1"/>
      <c r="J329" s="1"/>
      <c r="K329" s="1"/>
    </row>
    <row r="330" spans="1:11" ht="13.2" x14ac:dyDescent="0.25">
      <c r="A330" s="1"/>
      <c r="B330" s="1"/>
      <c r="C330" s="1"/>
      <c r="D330" s="1"/>
      <c r="E330" s="1"/>
      <c r="F330" s="1"/>
      <c r="G330" s="18"/>
      <c r="H330" s="1"/>
      <c r="I330" s="1"/>
      <c r="J330" s="1"/>
      <c r="K330" s="1"/>
    </row>
    <row r="331" spans="1:11" ht="13.2" x14ac:dyDescent="0.25">
      <c r="A331" s="1"/>
      <c r="B331" s="1"/>
      <c r="C331" s="1"/>
      <c r="D331" s="1"/>
      <c r="E331" s="1"/>
      <c r="F331" s="1"/>
      <c r="G331" s="18"/>
      <c r="H331" s="1"/>
      <c r="I331" s="1"/>
      <c r="J331" s="1"/>
      <c r="K331" s="1"/>
    </row>
    <row r="332" spans="1:11" ht="13.2" x14ac:dyDescent="0.25">
      <c r="A332" s="1"/>
      <c r="B332" s="1"/>
      <c r="C332" s="1"/>
      <c r="D332" s="1"/>
      <c r="E332" s="1"/>
      <c r="F332" s="1"/>
      <c r="G332" s="18"/>
      <c r="H332" s="1"/>
      <c r="I332" s="1"/>
      <c r="J332" s="1"/>
      <c r="K332" s="1"/>
    </row>
    <row r="333" spans="1:11" ht="13.2" x14ac:dyDescent="0.25">
      <c r="A333" s="1"/>
      <c r="B333" s="1"/>
      <c r="C333" s="1"/>
      <c r="D333" s="1"/>
      <c r="E333" s="1"/>
      <c r="F333" s="1"/>
      <c r="G333" s="18"/>
      <c r="H333" s="1"/>
      <c r="I333" s="1"/>
      <c r="J333" s="1"/>
      <c r="K333" s="1"/>
    </row>
    <row r="334" spans="1:11" ht="13.2" x14ac:dyDescent="0.25">
      <c r="A334" s="1"/>
      <c r="B334" s="1"/>
      <c r="C334" s="1"/>
      <c r="D334" s="1"/>
      <c r="E334" s="1"/>
      <c r="F334" s="1"/>
      <c r="G334" s="18"/>
      <c r="H334" s="1"/>
      <c r="I334" s="1"/>
      <c r="J334" s="1"/>
      <c r="K334" s="1"/>
    </row>
    <row r="335" spans="1:11" ht="13.2" x14ac:dyDescent="0.25">
      <c r="A335" s="1"/>
      <c r="B335" s="1"/>
      <c r="C335" s="1"/>
      <c r="D335" s="1"/>
      <c r="E335" s="1"/>
      <c r="F335" s="1"/>
      <c r="G335" s="18"/>
      <c r="H335" s="1"/>
      <c r="I335" s="1"/>
      <c r="J335" s="1"/>
      <c r="K335" s="1"/>
    </row>
    <row r="336" spans="1:11" ht="13.2" x14ac:dyDescent="0.25">
      <c r="A336" s="1"/>
      <c r="B336" s="1"/>
      <c r="C336" s="1"/>
      <c r="D336" s="1"/>
      <c r="E336" s="1"/>
      <c r="F336" s="1"/>
      <c r="G336" s="18"/>
      <c r="H336" s="1"/>
      <c r="I336" s="1"/>
      <c r="J336" s="1"/>
      <c r="K336" s="1"/>
    </row>
    <row r="337" spans="1:11" ht="13.2" x14ac:dyDescent="0.25">
      <c r="A337" s="1"/>
      <c r="B337" s="1"/>
      <c r="C337" s="1"/>
      <c r="D337" s="1"/>
      <c r="E337" s="1"/>
      <c r="F337" s="1"/>
      <c r="G337" s="18"/>
      <c r="H337" s="1"/>
      <c r="I337" s="1"/>
      <c r="J337" s="1"/>
      <c r="K337" s="1"/>
    </row>
    <row r="338" spans="1:11" ht="13.2" x14ac:dyDescent="0.25">
      <c r="A338" s="1"/>
      <c r="B338" s="1"/>
      <c r="C338" s="1"/>
      <c r="D338" s="1"/>
      <c r="E338" s="1"/>
      <c r="F338" s="1"/>
      <c r="G338" s="18"/>
      <c r="H338" s="1"/>
      <c r="I338" s="1"/>
      <c r="J338" s="1"/>
      <c r="K338" s="1"/>
    </row>
    <row r="339" spans="1:11" ht="13.2" x14ac:dyDescent="0.25">
      <c r="A339" s="1"/>
      <c r="B339" s="1"/>
      <c r="C339" s="1"/>
      <c r="D339" s="1"/>
      <c r="E339" s="1"/>
      <c r="F339" s="1"/>
      <c r="G339" s="18"/>
      <c r="H339" s="1"/>
      <c r="I339" s="1"/>
      <c r="J339" s="1"/>
      <c r="K339" s="1"/>
    </row>
    <row r="340" spans="1:11" ht="13.2" x14ac:dyDescent="0.25">
      <c r="A340" s="1"/>
      <c r="B340" s="1"/>
      <c r="C340" s="1"/>
      <c r="D340" s="1"/>
      <c r="E340" s="1"/>
      <c r="F340" s="1"/>
      <c r="G340" s="18"/>
      <c r="H340" s="1"/>
      <c r="I340" s="1"/>
      <c r="J340" s="1"/>
      <c r="K340" s="1"/>
    </row>
    <row r="341" spans="1:11" ht="13.2" x14ac:dyDescent="0.25">
      <c r="A341" s="1"/>
      <c r="B341" s="1"/>
      <c r="C341" s="1"/>
      <c r="D341" s="1"/>
      <c r="E341" s="1"/>
      <c r="F341" s="1"/>
      <c r="G341" s="18"/>
      <c r="H341" s="1"/>
      <c r="I341" s="1"/>
      <c r="J341" s="1"/>
      <c r="K341" s="1"/>
    </row>
    <row r="342" spans="1:11" ht="13.2" x14ac:dyDescent="0.25">
      <c r="A342" s="1"/>
      <c r="B342" s="1"/>
      <c r="C342" s="1"/>
      <c r="D342" s="1"/>
      <c r="E342" s="1"/>
      <c r="F342" s="1"/>
      <c r="G342" s="18"/>
      <c r="H342" s="1"/>
      <c r="I342" s="1"/>
      <c r="J342" s="1"/>
      <c r="K342" s="1"/>
    </row>
    <row r="343" spans="1:11" ht="13.2" x14ac:dyDescent="0.25">
      <c r="A343" s="1"/>
      <c r="B343" s="1"/>
      <c r="C343" s="1"/>
      <c r="D343" s="1"/>
      <c r="E343" s="1"/>
      <c r="F343" s="1"/>
      <c r="G343" s="18"/>
      <c r="H343" s="1"/>
      <c r="I343" s="1"/>
      <c r="J343" s="1"/>
      <c r="K343" s="1"/>
    </row>
    <row r="344" spans="1:11" ht="13.2" x14ac:dyDescent="0.25">
      <c r="A344" s="1"/>
      <c r="B344" s="1"/>
      <c r="C344" s="1"/>
      <c r="D344" s="1"/>
      <c r="E344" s="1"/>
      <c r="F344" s="1"/>
      <c r="G344" s="18"/>
      <c r="H344" s="1"/>
      <c r="I344" s="1"/>
      <c r="J344" s="1"/>
      <c r="K344" s="1"/>
    </row>
    <row r="345" spans="1:11" ht="13.2" x14ac:dyDescent="0.25">
      <c r="A345" s="1"/>
      <c r="B345" s="1"/>
      <c r="C345" s="1"/>
      <c r="D345" s="1"/>
      <c r="E345" s="1"/>
      <c r="F345" s="1"/>
      <c r="G345" s="18"/>
      <c r="H345" s="1"/>
      <c r="I345" s="1"/>
      <c r="J345" s="1"/>
      <c r="K345" s="1"/>
    </row>
    <row r="346" spans="1:11" ht="13.2" x14ac:dyDescent="0.25">
      <c r="A346" s="1"/>
      <c r="B346" s="1"/>
      <c r="C346" s="1"/>
      <c r="D346" s="1"/>
      <c r="E346" s="1"/>
      <c r="F346" s="1"/>
      <c r="G346" s="18"/>
      <c r="H346" s="1"/>
      <c r="I346" s="1"/>
      <c r="J346" s="1"/>
      <c r="K346" s="1"/>
    </row>
    <row r="347" spans="1:11" ht="13.2" x14ac:dyDescent="0.25">
      <c r="A347" s="1"/>
      <c r="B347" s="1"/>
      <c r="C347" s="1"/>
      <c r="D347" s="1"/>
      <c r="E347" s="1"/>
      <c r="F347" s="1"/>
      <c r="G347" s="18"/>
      <c r="H347" s="1"/>
      <c r="I347" s="1"/>
      <c r="J347" s="1"/>
      <c r="K347" s="1"/>
    </row>
    <row r="348" spans="1:11" ht="13.2" x14ac:dyDescent="0.25">
      <c r="A348" s="1"/>
      <c r="B348" s="1"/>
      <c r="C348" s="1"/>
      <c r="D348" s="1"/>
      <c r="E348" s="1"/>
      <c r="F348" s="1"/>
      <c r="G348" s="18"/>
      <c r="H348" s="1"/>
      <c r="I348" s="1"/>
      <c r="J348" s="1"/>
      <c r="K348" s="1"/>
    </row>
    <row r="349" spans="1:11" ht="13.2" x14ac:dyDescent="0.25">
      <c r="A349" s="1"/>
      <c r="B349" s="1"/>
      <c r="C349" s="1"/>
      <c r="D349" s="1"/>
      <c r="E349" s="1"/>
      <c r="F349" s="1"/>
      <c r="G349" s="18"/>
      <c r="H349" s="1"/>
      <c r="I349" s="1"/>
      <c r="J349" s="1"/>
      <c r="K349" s="1"/>
    </row>
    <row r="350" spans="1:11" ht="13.2" x14ac:dyDescent="0.25">
      <c r="A350" s="1"/>
      <c r="B350" s="1"/>
      <c r="C350" s="1"/>
      <c r="D350" s="1"/>
      <c r="E350" s="1"/>
      <c r="F350" s="1"/>
      <c r="G350" s="18"/>
      <c r="H350" s="1"/>
      <c r="I350" s="1"/>
      <c r="J350" s="1"/>
      <c r="K350" s="1"/>
    </row>
    <row r="351" spans="1:11" ht="13.2" x14ac:dyDescent="0.25">
      <c r="A351" s="1"/>
      <c r="B351" s="1"/>
      <c r="C351" s="1"/>
      <c r="D351" s="1"/>
      <c r="E351" s="1"/>
      <c r="F351" s="1"/>
      <c r="G351" s="18"/>
      <c r="H351" s="1"/>
      <c r="I351" s="1"/>
      <c r="J351" s="1"/>
      <c r="K351" s="1"/>
    </row>
    <row r="352" spans="1:11" ht="13.2" x14ac:dyDescent="0.25">
      <c r="A352" s="1"/>
      <c r="B352" s="1"/>
      <c r="C352" s="1"/>
      <c r="D352" s="1"/>
      <c r="E352" s="1"/>
      <c r="F352" s="1"/>
      <c r="G352" s="18"/>
      <c r="H352" s="1"/>
      <c r="I352" s="1"/>
      <c r="J352" s="1"/>
      <c r="K352" s="1"/>
    </row>
    <row r="353" spans="1:11" ht="13.2" x14ac:dyDescent="0.25">
      <c r="A353" s="1"/>
      <c r="B353" s="1"/>
      <c r="C353" s="1"/>
      <c r="D353" s="1"/>
      <c r="E353" s="1"/>
      <c r="F353" s="1"/>
      <c r="G353" s="18"/>
      <c r="H353" s="1"/>
      <c r="I353" s="1"/>
      <c r="J353" s="1"/>
      <c r="K353" s="1"/>
    </row>
    <row r="354" spans="1:11" ht="13.2" x14ac:dyDescent="0.25">
      <c r="A354" s="1"/>
      <c r="B354" s="1"/>
      <c r="C354" s="1"/>
      <c r="D354" s="1"/>
      <c r="E354" s="1"/>
      <c r="F354" s="1"/>
      <c r="G354" s="18"/>
      <c r="H354" s="1"/>
      <c r="I354" s="1"/>
      <c r="J354" s="1"/>
      <c r="K354" s="1"/>
    </row>
    <row r="355" spans="1:11" ht="13.2" x14ac:dyDescent="0.25">
      <c r="A355" s="1"/>
      <c r="B355" s="1"/>
      <c r="C355" s="1"/>
      <c r="D355" s="1"/>
      <c r="E355" s="1"/>
      <c r="F355" s="1"/>
      <c r="G355" s="18"/>
      <c r="H355" s="1"/>
      <c r="I355" s="1"/>
      <c r="J355" s="1"/>
      <c r="K355" s="1"/>
    </row>
    <row r="356" spans="1:11" ht="13.2" x14ac:dyDescent="0.25">
      <c r="A356" s="1"/>
      <c r="B356" s="1"/>
      <c r="C356" s="1"/>
      <c r="D356" s="1"/>
      <c r="E356" s="1"/>
      <c r="F356" s="1"/>
      <c r="G356" s="18"/>
      <c r="H356" s="1"/>
      <c r="I356" s="1"/>
      <c r="J356" s="1"/>
      <c r="K356" s="1"/>
    </row>
    <row r="357" spans="1:11" ht="13.2" x14ac:dyDescent="0.25">
      <c r="A357" s="1"/>
      <c r="B357" s="1"/>
      <c r="C357" s="1"/>
      <c r="D357" s="1"/>
      <c r="E357" s="1"/>
      <c r="F357" s="1"/>
      <c r="G357" s="18"/>
      <c r="H357" s="1"/>
      <c r="I357" s="1"/>
      <c r="J357" s="1"/>
      <c r="K357" s="1"/>
    </row>
    <row r="358" spans="1:11" ht="13.2" x14ac:dyDescent="0.25">
      <c r="A358" s="1"/>
      <c r="B358" s="1"/>
      <c r="C358" s="1"/>
      <c r="D358" s="1"/>
      <c r="E358" s="1"/>
      <c r="F358" s="1"/>
      <c r="G358" s="18"/>
      <c r="H358" s="1"/>
      <c r="I358" s="1"/>
      <c r="J358" s="1"/>
      <c r="K358" s="1"/>
    </row>
    <row r="359" spans="1:11" ht="13.2" x14ac:dyDescent="0.25">
      <c r="A359" s="1"/>
      <c r="B359" s="1"/>
      <c r="C359" s="1"/>
      <c r="D359" s="1"/>
      <c r="E359" s="1"/>
      <c r="F359" s="1"/>
      <c r="G359" s="18"/>
      <c r="H359" s="1"/>
      <c r="I359" s="1"/>
      <c r="J359" s="1"/>
      <c r="K359" s="1"/>
    </row>
    <row r="360" spans="1:11" ht="13.2" x14ac:dyDescent="0.25">
      <c r="A360" s="1"/>
      <c r="B360" s="1"/>
      <c r="C360" s="1"/>
      <c r="D360" s="1"/>
      <c r="E360" s="1"/>
      <c r="F360" s="1"/>
      <c r="G360" s="18"/>
      <c r="H360" s="1"/>
      <c r="I360" s="1"/>
      <c r="J360" s="1"/>
      <c r="K360" s="1"/>
    </row>
    <row r="361" spans="1:11" ht="13.2" x14ac:dyDescent="0.25">
      <c r="A361" s="1"/>
      <c r="B361" s="1"/>
      <c r="C361" s="1"/>
      <c r="D361" s="1"/>
      <c r="E361" s="1"/>
      <c r="F361" s="1"/>
      <c r="G361" s="18"/>
      <c r="H361" s="1"/>
      <c r="I361" s="1"/>
      <c r="J361" s="1"/>
      <c r="K361" s="1"/>
    </row>
    <row r="362" spans="1:11" ht="13.2" x14ac:dyDescent="0.25">
      <c r="A362" s="1"/>
      <c r="B362" s="1"/>
      <c r="C362" s="1"/>
      <c r="D362" s="1"/>
      <c r="E362" s="1"/>
      <c r="F362" s="1"/>
      <c r="G362" s="18"/>
      <c r="H362" s="1"/>
      <c r="I362" s="1"/>
      <c r="J362" s="1"/>
      <c r="K362" s="1"/>
    </row>
    <row r="363" spans="1:11" ht="13.2" x14ac:dyDescent="0.25">
      <c r="A363" s="1"/>
      <c r="B363" s="1"/>
      <c r="C363" s="1"/>
      <c r="D363" s="1"/>
      <c r="E363" s="1"/>
      <c r="F363" s="1"/>
      <c r="G363" s="18"/>
      <c r="H363" s="1"/>
      <c r="I363" s="1"/>
      <c r="J363" s="1"/>
      <c r="K363" s="1"/>
    </row>
    <row r="364" spans="1:11" ht="13.2" x14ac:dyDescent="0.25">
      <c r="A364" s="1"/>
      <c r="B364" s="1"/>
      <c r="C364" s="1"/>
      <c r="D364" s="1"/>
      <c r="E364" s="1"/>
      <c r="F364" s="1"/>
      <c r="G364" s="18"/>
      <c r="H364" s="1"/>
      <c r="I364" s="1"/>
      <c r="J364" s="1"/>
      <c r="K364" s="1"/>
    </row>
    <row r="365" spans="1:11" ht="13.2" x14ac:dyDescent="0.25">
      <c r="A365" s="1"/>
      <c r="B365" s="1"/>
      <c r="C365" s="1"/>
      <c r="D365" s="1"/>
      <c r="E365" s="1"/>
      <c r="F365" s="1"/>
      <c r="G365" s="18"/>
      <c r="H365" s="1"/>
      <c r="I365" s="1"/>
      <c r="J365" s="1"/>
      <c r="K365" s="1"/>
    </row>
    <row r="366" spans="1:11" ht="13.2" x14ac:dyDescent="0.25">
      <c r="A366" s="1"/>
      <c r="B366" s="1"/>
      <c r="C366" s="1"/>
      <c r="D366" s="1"/>
      <c r="E366" s="1"/>
      <c r="F366" s="1"/>
      <c r="G366" s="18"/>
      <c r="H366" s="1"/>
      <c r="I366" s="1"/>
      <c r="J366" s="1"/>
      <c r="K366" s="1"/>
    </row>
    <row r="367" spans="1:11" ht="13.2" x14ac:dyDescent="0.25">
      <c r="A367" s="1"/>
      <c r="B367" s="1"/>
      <c r="C367" s="1"/>
      <c r="D367" s="1"/>
      <c r="E367" s="1"/>
      <c r="F367" s="1"/>
      <c r="G367" s="18"/>
      <c r="H367" s="1"/>
      <c r="I367" s="1"/>
      <c r="J367" s="1"/>
      <c r="K367" s="1"/>
    </row>
    <row r="368" spans="1:11" ht="13.2" x14ac:dyDescent="0.25">
      <c r="A368" s="1"/>
      <c r="B368" s="1"/>
      <c r="C368" s="1"/>
      <c r="D368" s="1"/>
      <c r="E368" s="1"/>
      <c r="F368" s="1"/>
      <c r="G368" s="18"/>
      <c r="H368" s="1"/>
      <c r="I368" s="1"/>
      <c r="J368" s="1"/>
      <c r="K368" s="1"/>
    </row>
    <row r="369" spans="1:11" ht="13.2" x14ac:dyDescent="0.25">
      <c r="A369" s="1"/>
      <c r="B369" s="1"/>
      <c r="C369" s="1"/>
      <c r="D369" s="1"/>
      <c r="E369" s="1"/>
      <c r="F369" s="1"/>
      <c r="G369" s="18"/>
      <c r="H369" s="1"/>
      <c r="I369" s="1"/>
      <c r="J369" s="1"/>
      <c r="K369" s="1"/>
    </row>
    <row r="370" spans="1:11" ht="13.2" x14ac:dyDescent="0.25">
      <c r="A370" s="1"/>
      <c r="B370" s="1"/>
      <c r="C370" s="1"/>
      <c r="D370" s="1"/>
      <c r="E370" s="1"/>
      <c r="F370" s="1"/>
      <c r="G370" s="18"/>
      <c r="H370" s="1"/>
      <c r="I370" s="1"/>
      <c r="J370" s="1"/>
      <c r="K370" s="1"/>
    </row>
    <row r="371" spans="1:11" ht="13.2" x14ac:dyDescent="0.25">
      <c r="A371" s="1"/>
      <c r="B371" s="1"/>
      <c r="C371" s="1"/>
      <c r="D371" s="1"/>
      <c r="E371" s="1"/>
      <c r="F371" s="1"/>
      <c r="G371" s="18"/>
      <c r="H371" s="1"/>
      <c r="I371" s="1"/>
      <c r="J371" s="1"/>
      <c r="K371" s="1"/>
    </row>
    <row r="372" spans="1:11" ht="13.2" x14ac:dyDescent="0.25">
      <c r="A372" s="1"/>
      <c r="B372" s="1"/>
      <c r="C372" s="1"/>
      <c r="D372" s="1"/>
      <c r="E372" s="1"/>
      <c r="F372" s="1"/>
      <c r="G372" s="18"/>
      <c r="H372" s="1"/>
      <c r="I372" s="1"/>
      <c r="J372" s="1"/>
      <c r="K372" s="1"/>
    </row>
    <row r="373" spans="1:11" ht="13.2" x14ac:dyDescent="0.25">
      <c r="A373" s="1"/>
      <c r="B373" s="1"/>
      <c r="C373" s="1"/>
      <c r="D373" s="1"/>
      <c r="E373" s="1"/>
      <c r="F373" s="1"/>
      <c r="G373" s="18"/>
      <c r="H373" s="1"/>
      <c r="I373" s="1"/>
      <c r="J373" s="1"/>
      <c r="K373" s="1"/>
    </row>
    <row r="374" spans="1:11" ht="13.2" x14ac:dyDescent="0.25">
      <c r="A374" s="1"/>
      <c r="B374" s="1"/>
      <c r="C374" s="1"/>
      <c r="D374" s="1"/>
      <c r="E374" s="1"/>
      <c r="F374" s="1"/>
      <c r="G374" s="18"/>
      <c r="H374" s="1"/>
      <c r="I374" s="1"/>
      <c r="J374" s="1"/>
      <c r="K374" s="1"/>
    </row>
    <row r="375" spans="1:11" ht="13.2" x14ac:dyDescent="0.25">
      <c r="A375" s="1"/>
      <c r="B375" s="1"/>
      <c r="C375" s="1"/>
      <c r="D375" s="1"/>
      <c r="E375" s="1"/>
      <c r="F375" s="1"/>
      <c r="G375" s="18"/>
      <c r="H375" s="1"/>
      <c r="I375" s="1"/>
      <c r="J375" s="1"/>
      <c r="K375" s="1"/>
    </row>
    <row r="376" spans="1:11" ht="13.2" x14ac:dyDescent="0.25">
      <c r="A376" s="1"/>
      <c r="B376" s="1"/>
      <c r="C376" s="1"/>
      <c r="D376" s="1"/>
      <c r="E376" s="1"/>
      <c r="F376" s="1"/>
      <c r="G376" s="18"/>
      <c r="H376" s="1"/>
      <c r="I376" s="1"/>
      <c r="J376" s="1"/>
      <c r="K376" s="1"/>
    </row>
    <row r="377" spans="1:11" ht="13.2" x14ac:dyDescent="0.25">
      <c r="A377" s="1"/>
      <c r="B377" s="1"/>
      <c r="C377" s="1"/>
      <c r="D377" s="1"/>
      <c r="E377" s="1"/>
      <c r="F377" s="1"/>
      <c r="G377" s="18"/>
      <c r="H377" s="1"/>
      <c r="I377" s="1"/>
      <c r="J377" s="1"/>
      <c r="K377" s="1"/>
    </row>
    <row r="378" spans="1:11" ht="13.2" x14ac:dyDescent="0.25">
      <c r="A378" s="1"/>
      <c r="B378" s="1"/>
      <c r="C378" s="1"/>
      <c r="D378" s="1"/>
      <c r="E378" s="1"/>
      <c r="F378" s="1"/>
      <c r="G378" s="18"/>
      <c r="H378" s="1"/>
      <c r="I378" s="1"/>
      <c r="J378" s="1"/>
      <c r="K378" s="1"/>
    </row>
    <row r="379" spans="1:11" ht="13.2" x14ac:dyDescent="0.25">
      <c r="A379" s="1"/>
      <c r="B379" s="1"/>
      <c r="C379" s="1"/>
      <c r="D379" s="1"/>
      <c r="E379" s="1"/>
      <c r="F379" s="1"/>
      <c r="G379" s="18"/>
      <c r="H379" s="1"/>
      <c r="I379" s="1"/>
      <c r="J379" s="1"/>
      <c r="K379" s="1"/>
    </row>
    <row r="380" spans="1:11" ht="13.2" x14ac:dyDescent="0.25">
      <c r="A380" s="1"/>
      <c r="B380" s="1"/>
      <c r="C380" s="1"/>
      <c r="D380" s="1"/>
      <c r="E380" s="1"/>
      <c r="F380" s="1"/>
      <c r="G380" s="18"/>
      <c r="H380" s="1"/>
      <c r="I380" s="1"/>
      <c r="J380" s="1"/>
      <c r="K380" s="1"/>
    </row>
    <row r="381" spans="1:11" ht="13.2" x14ac:dyDescent="0.25">
      <c r="A381" s="1"/>
      <c r="B381" s="1"/>
      <c r="C381" s="1"/>
      <c r="D381" s="1"/>
      <c r="E381" s="1"/>
      <c r="F381" s="1"/>
      <c r="G381" s="18"/>
      <c r="H381" s="1"/>
      <c r="I381" s="1"/>
      <c r="J381" s="1"/>
      <c r="K381" s="1"/>
    </row>
    <row r="382" spans="1:11" ht="13.2" x14ac:dyDescent="0.25">
      <c r="A382" s="1"/>
      <c r="B382" s="1"/>
      <c r="C382" s="1"/>
      <c r="D382" s="1"/>
      <c r="E382" s="1"/>
      <c r="F382" s="1"/>
      <c r="G382" s="18"/>
      <c r="H382" s="1"/>
      <c r="I382" s="1"/>
      <c r="J382" s="1"/>
      <c r="K382" s="1"/>
    </row>
    <row r="383" spans="1:11" ht="13.2" x14ac:dyDescent="0.25">
      <c r="A383" s="1"/>
      <c r="B383" s="1"/>
      <c r="C383" s="1"/>
      <c r="D383" s="1"/>
      <c r="E383" s="1"/>
      <c r="F383" s="1"/>
      <c r="G383" s="18"/>
      <c r="H383" s="1"/>
      <c r="I383" s="1"/>
      <c r="J383" s="1"/>
      <c r="K383" s="1"/>
    </row>
    <row r="384" spans="1:11" ht="13.2" x14ac:dyDescent="0.25">
      <c r="A384" s="1"/>
      <c r="B384" s="1"/>
      <c r="C384" s="1"/>
      <c r="D384" s="1"/>
      <c r="E384" s="1"/>
      <c r="F384" s="1"/>
      <c r="G384" s="18"/>
      <c r="H384" s="1"/>
      <c r="I384" s="1"/>
      <c r="J384" s="1"/>
      <c r="K384" s="1"/>
    </row>
    <row r="385" spans="1:11" ht="13.2" x14ac:dyDescent="0.25">
      <c r="A385" s="1"/>
      <c r="B385" s="1"/>
      <c r="C385" s="1"/>
      <c r="D385" s="1"/>
      <c r="E385" s="1"/>
      <c r="F385" s="1"/>
      <c r="G385" s="18"/>
      <c r="H385" s="1"/>
      <c r="I385" s="1"/>
      <c r="J385" s="1"/>
      <c r="K385" s="1"/>
    </row>
    <row r="386" spans="1:11" ht="13.2" x14ac:dyDescent="0.25">
      <c r="A386" s="1"/>
      <c r="B386" s="1"/>
      <c r="C386" s="1"/>
      <c r="D386" s="1"/>
      <c r="E386" s="1"/>
      <c r="F386" s="1"/>
      <c r="G386" s="18"/>
      <c r="H386" s="1"/>
      <c r="I386" s="1"/>
      <c r="J386" s="1"/>
      <c r="K386" s="1"/>
    </row>
    <row r="387" spans="1:11" ht="13.2" x14ac:dyDescent="0.25">
      <c r="A387" s="1"/>
      <c r="B387" s="1"/>
      <c r="C387" s="1"/>
      <c r="D387" s="1"/>
      <c r="E387" s="1"/>
      <c r="F387" s="1"/>
      <c r="G387" s="18"/>
      <c r="H387" s="1"/>
      <c r="I387" s="1"/>
      <c r="J387" s="1"/>
      <c r="K387" s="1"/>
    </row>
    <row r="388" spans="1:11" ht="13.2" x14ac:dyDescent="0.25">
      <c r="A388" s="1"/>
      <c r="B388" s="1"/>
      <c r="C388" s="1"/>
      <c r="D388" s="1"/>
      <c r="E388" s="1"/>
      <c r="F388" s="1"/>
      <c r="G388" s="18"/>
      <c r="H388" s="1"/>
      <c r="I388" s="1"/>
      <c r="J388" s="1"/>
      <c r="K388" s="1"/>
    </row>
    <row r="389" spans="1:11" ht="13.2" x14ac:dyDescent="0.25">
      <c r="A389" s="1"/>
      <c r="B389" s="1"/>
      <c r="C389" s="1"/>
      <c r="D389" s="1"/>
      <c r="E389" s="1"/>
      <c r="F389" s="1"/>
      <c r="G389" s="18"/>
      <c r="H389" s="1"/>
      <c r="I389" s="1"/>
      <c r="J389" s="1"/>
      <c r="K389" s="1"/>
    </row>
    <row r="390" spans="1:11" ht="13.2" x14ac:dyDescent="0.25">
      <c r="A390" s="1"/>
      <c r="B390" s="1"/>
      <c r="C390" s="1"/>
      <c r="D390" s="1"/>
      <c r="E390" s="1"/>
      <c r="F390" s="1"/>
      <c r="G390" s="18"/>
      <c r="H390" s="1"/>
      <c r="I390" s="1"/>
      <c r="J390" s="1"/>
      <c r="K390" s="1"/>
    </row>
    <row r="391" spans="1:11" ht="13.2" x14ac:dyDescent="0.25">
      <c r="A391" s="1"/>
      <c r="B391" s="1"/>
      <c r="C391" s="1"/>
      <c r="D391" s="1"/>
      <c r="E391" s="1"/>
      <c r="F391" s="1"/>
      <c r="G391" s="18"/>
      <c r="H391" s="1"/>
      <c r="I391" s="1"/>
      <c r="J391" s="1"/>
      <c r="K391" s="1"/>
    </row>
    <row r="392" spans="1:11" ht="13.2" x14ac:dyDescent="0.25">
      <c r="A392" s="1"/>
      <c r="B392" s="1"/>
      <c r="C392" s="1"/>
      <c r="D392" s="1"/>
      <c r="E392" s="1"/>
      <c r="F392" s="1"/>
      <c r="G392" s="18"/>
      <c r="H392" s="1"/>
      <c r="I392" s="1"/>
      <c r="J392" s="1"/>
      <c r="K392" s="1"/>
    </row>
    <row r="393" spans="1:11" ht="13.2" x14ac:dyDescent="0.25">
      <c r="A393" s="1"/>
      <c r="B393" s="1"/>
      <c r="C393" s="1"/>
      <c r="D393" s="1"/>
      <c r="E393" s="1"/>
      <c r="F393" s="1"/>
      <c r="G393" s="18"/>
      <c r="H393" s="1"/>
      <c r="I393" s="1"/>
      <c r="J393" s="1"/>
      <c r="K393" s="1"/>
    </row>
    <row r="394" spans="1:11" ht="13.2" x14ac:dyDescent="0.25">
      <c r="A394" s="1"/>
      <c r="B394" s="1"/>
      <c r="C394" s="1"/>
      <c r="D394" s="1"/>
      <c r="E394" s="1"/>
      <c r="F394" s="1"/>
      <c r="G394" s="18"/>
      <c r="H394" s="1"/>
      <c r="I394" s="1"/>
      <c r="J394" s="1"/>
      <c r="K394" s="1"/>
    </row>
    <row r="395" spans="1:11" ht="13.2" x14ac:dyDescent="0.25">
      <c r="A395" s="1"/>
      <c r="B395" s="1"/>
      <c r="C395" s="1"/>
      <c r="D395" s="1"/>
      <c r="E395" s="1"/>
      <c r="F395" s="1"/>
      <c r="G395" s="18"/>
      <c r="H395" s="1"/>
      <c r="I395" s="1"/>
      <c r="J395" s="1"/>
      <c r="K395" s="1"/>
    </row>
    <row r="396" spans="1:11" ht="13.2" x14ac:dyDescent="0.25">
      <c r="A396" s="1"/>
      <c r="B396" s="1"/>
      <c r="C396" s="1"/>
      <c r="D396" s="1"/>
      <c r="E396" s="1"/>
      <c r="F396" s="1"/>
      <c r="G396" s="18"/>
      <c r="H396" s="1"/>
      <c r="I396" s="1"/>
      <c r="J396" s="1"/>
      <c r="K396" s="1"/>
    </row>
    <row r="397" spans="1:11" ht="13.2" x14ac:dyDescent="0.25">
      <c r="A397" s="1"/>
      <c r="B397" s="1"/>
      <c r="C397" s="1"/>
      <c r="D397" s="1"/>
      <c r="E397" s="1"/>
      <c r="F397" s="1"/>
      <c r="G397" s="18"/>
      <c r="H397" s="1"/>
      <c r="I397" s="1"/>
      <c r="J397" s="1"/>
      <c r="K397" s="1"/>
    </row>
    <row r="398" spans="1:11" ht="13.2" x14ac:dyDescent="0.25">
      <c r="A398" s="1"/>
      <c r="B398" s="1"/>
      <c r="C398" s="1"/>
      <c r="D398" s="1"/>
      <c r="E398" s="1"/>
      <c r="F398" s="1"/>
      <c r="G398" s="18"/>
      <c r="H398" s="1"/>
      <c r="I398" s="1"/>
      <c r="J398" s="1"/>
      <c r="K398" s="1"/>
    </row>
    <row r="399" spans="1:11" ht="13.2" x14ac:dyDescent="0.25">
      <c r="A399" s="1"/>
      <c r="B399" s="1"/>
      <c r="C399" s="1"/>
      <c r="D399" s="1"/>
      <c r="E399" s="1"/>
      <c r="F399" s="1"/>
      <c r="G399" s="18"/>
      <c r="H399" s="1"/>
      <c r="I399" s="1"/>
      <c r="J399" s="1"/>
      <c r="K399" s="1"/>
    </row>
    <row r="400" spans="1:11" ht="13.2" x14ac:dyDescent="0.25">
      <c r="A400" s="1"/>
      <c r="B400" s="1"/>
      <c r="C400" s="1"/>
      <c r="D400" s="1"/>
      <c r="E400" s="1"/>
      <c r="F400" s="1"/>
      <c r="G400" s="18"/>
      <c r="H400" s="1"/>
      <c r="I400" s="1"/>
      <c r="J400" s="1"/>
      <c r="K400" s="1"/>
    </row>
    <row r="401" spans="1:11" ht="13.2" x14ac:dyDescent="0.25">
      <c r="A401" s="1"/>
      <c r="B401" s="1"/>
      <c r="C401" s="1"/>
      <c r="D401" s="1"/>
      <c r="E401" s="1"/>
      <c r="F401" s="1"/>
      <c r="G401" s="18"/>
      <c r="H401" s="1"/>
      <c r="I401" s="1"/>
      <c r="J401" s="1"/>
      <c r="K401" s="1"/>
    </row>
    <row r="402" spans="1:11" ht="13.2" x14ac:dyDescent="0.25">
      <c r="A402" s="1"/>
      <c r="B402" s="1"/>
      <c r="C402" s="1"/>
      <c r="D402" s="1"/>
      <c r="E402" s="1"/>
      <c r="F402" s="1"/>
      <c r="G402" s="18"/>
      <c r="H402" s="1"/>
      <c r="I402" s="1"/>
      <c r="J402" s="1"/>
      <c r="K402" s="1"/>
    </row>
    <row r="403" spans="1:11" ht="13.2" x14ac:dyDescent="0.25">
      <c r="A403" s="1"/>
      <c r="B403" s="1"/>
      <c r="C403" s="1"/>
      <c r="D403" s="1"/>
      <c r="E403" s="1"/>
      <c r="F403" s="1"/>
      <c r="G403" s="18"/>
      <c r="H403" s="1"/>
      <c r="I403" s="1"/>
      <c r="J403" s="1"/>
      <c r="K403" s="1"/>
    </row>
    <row r="404" spans="1:11" ht="13.2" x14ac:dyDescent="0.25">
      <c r="A404" s="1"/>
      <c r="B404" s="1"/>
      <c r="C404" s="1"/>
      <c r="D404" s="1"/>
      <c r="E404" s="1"/>
      <c r="F404" s="1"/>
      <c r="G404" s="18"/>
      <c r="H404" s="1"/>
      <c r="I404" s="1"/>
      <c r="J404" s="1"/>
      <c r="K404" s="1"/>
    </row>
    <row r="405" spans="1:11" ht="13.2" x14ac:dyDescent="0.25">
      <c r="A405" s="1"/>
      <c r="B405" s="1"/>
      <c r="C405" s="1"/>
      <c r="D405" s="1"/>
      <c r="E405" s="1"/>
      <c r="F405" s="1"/>
      <c r="G405" s="18"/>
      <c r="H405" s="1"/>
      <c r="I405" s="1"/>
      <c r="J405" s="1"/>
      <c r="K405" s="1"/>
    </row>
    <row r="406" spans="1:11" ht="13.2" x14ac:dyDescent="0.25">
      <c r="A406" s="1"/>
      <c r="B406" s="1"/>
      <c r="C406" s="1"/>
      <c r="D406" s="1"/>
      <c r="E406" s="1"/>
      <c r="F406" s="1"/>
      <c r="G406" s="18"/>
      <c r="H406" s="1"/>
      <c r="I406" s="1"/>
      <c r="J406" s="1"/>
      <c r="K406" s="1"/>
    </row>
    <row r="407" spans="1:11" ht="13.2" x14ac:dyDescent="0.25">
      <c r="A407" s="1"/>
      <c r="B407" s="1"/>
      <c r="C407" s="1"/>
      <c r="D407" s="1"/>
      <c r="E407" s="1"/>
      <c r="F407" s="1"/>
      <c r="G407" s="18"/>
      <c r="H407" s="1"/>
      <c r="I407" s="1"/>
      <c r="J407" s="1"/>
      <c r="K407" s="1"/>
    </row>
    <row r="408" spans="1:11" ht="13.2" x14ac:dyDescent="0.25">
      <c r="A408" s="1"/>
      <c r="B408" s="1"/>
      <c r="C408" s="1"/>
      <c r="D408" s="1"/>
      <c r="E408" s="1"/>
      <c r="F408" s="1"/>
      <c r="G408" s="18"/>
      <c r="H408" s="1"/>
      <c r="I408" s="1"/>
      <c r="J408" s="1"/>
      <c r="K408" s="1"/>
    </row>
    <row r="409" spans="1:11" ht="13.2" x14ac:dyDescent="0.25">
      <c r="A409" s="1"/>
      <c r="B409" s="1"/>
      <c r="C409" s="1"/>
      <c r="D409" s="1"/>
      <c r="E409" s="1"/>
      <c r="F409" s="1"/>
      <c r="G409" s="18"/>
      <c r="H409" s="1"/>
      <c r="I409" s="1"/>
      <c r="J409" s="1"/>
      <c r="K409" s="1"/>
    </row>
    <row r="410" spans="1:11" ht="13.2" x14ac:dyDescent="0.25">
      <c r="A410" s="1"/>
      <c r="B410" s="1"/>
      <c r="C410" s="1"/>
      <c r="D410" s="1"/>
      <c r="E410" s="1"/>
      <c r="F410" s="1"/>
      <c r="G410" s="18"/>
      <c r="H410" s="1"/>
      <c r="I410" s="1"/>
      <c r="J410" s="1"/>
      <c r="K410" s="1"/>
    </row>
    <row r="411" spans="1:11" ht="13.2" x14ac:dyDescent="0.25">
      <c r="A411" s="1"/>
      <c r="B411" s="1"/>
      <c r="C411" s="1"/>
      <c r="D411" s="1"/>
      <c r="E411" s="1"/>
      <c r="F411" s="1"/>
      <c r="G411" s="18"/>
      <c r="H411" s="1"/>
      <c r="I411" s="1"/>
      <c r="J411" s="1"/>
      <c r="K411" s="1"/>
    </row>
    <row r="412" spans="1:11" ht="13.2" x14ac:dyDescent="0.25">
      <c r="A412" s="1"/>
      <c r="B412" s="1"/>
      <c r="C412" s="1"/>
      <c r="D412" s="1"/>
      <c r="E412" s="1"/>
      <c r="F412" s="1"/>
      <c r="G412" s="18"/>
      <c r="H412" s="1"/>
      <c r="I412" s="1"/>
      <c r="J412" s="1"/>
      <c r="K412" s="1"/>
    </row>
    <row r="413" spans="1:11" ht="13.2" x14ac:dyDescent="0.25">
      <c r="A413" s="1"/>
      <c r="B413" s="1"/>
      <c r="C413" s="1"/>
      <c r="D413" s="1"/>
      <c r="E413" s="1"/>
      <c r="F413" s="1"/>
      <c r="G413" s="18"/>
      <c r="H413" s="1"/>
      <c r="I413" s="1"/>
      <c r="J413" s="1"/>
      <c r="K413" s="1"/>
    </row>
    <row r="414" spans="1:11" ht="13.2" x14ac:dyDescent="0.25">
      <c r="A414" s="1"/>
      <c r="B414" s="1"/>
      <c r="C414" s="1"/>
      <c r="D414" s="1"/>
      <c r="E414" s="1"/>
      <c r="F414" s="1"/>
      <c r="G414" s="18"/>
      <c r="H414" s="1"/>
      <c r="I414" s="1"/>
      <c r="J414" s="1"/>
      <c r="K414" s="1"/>
    </row>
    <row r="415" spans="1:11" ht="13.2" x14ac:dyDescent="0.25">
      <c r="A415" s="1"/>
      <c r="B415" s="1"/>
      <c r="C415" s="1"/>
      <c r="D415" s="1"/>
      <c r="E415" s="1"/>
      <c r="F415" s="1"/>
      <c r="G415" s="18"/>
      <c r="H415" s="1"/>
      <c r="I415" s="1"/>
      <c r="J415" s="1"/>
      <c r="K415" s="1"/>
    </row>
    <row r="416" spans="1:11" ht="13.2" x14ac:dyDescent="0.25">
      <c r="A416" s="1"/>
      <c r="B416" s="1"/>
      <c r="C416" s="1"/>
      <c r="D416" s="1"/>
      <c r="E416" s="1"/>
      <c r="F416" s="1"/>
      <c r="G416" s="18"/>
      <c r="H416" s="1"/>
      <c r="I416" s="1"/>
      <c r="J416" s="1"/>
      <c r="K416" s="1"/>
    </row>
    <row r="417" spans="1:11" ht="13.2" x14ac:dyDescent="0.25">
      <c r="A417" s="1"/>
      <c r="B417" s="1"/>
      <c r="C417" s="1"/>
      <c r="D417" s="1"/>
      <c r="E417" s="1"/>
      <c r="F417" s="1"/>
      <c r="G417" s="18"/>
      <c r="H417" s="1"/>
      <c r="I417" s="1"/>
      <c r="J417" s="1"/>
      <c r="K417" s="1"/>
    </row>
    <row r="418" spans="1:11" ht="13.2" x14ac:dyDescent="0.25">
      <c r="A418" s="1"/>
      <c r="B418" s="1"/>
      <c r="C418" s="1"/>
      <c r="D418" s="1"/>
      <c r="E418" s="1"/>
      <c r="F418" s="1"/>
      <c r="G418" s="18"/>
      <c r="H418" s="1"/>
      <c r="I418" s="1"/>
      <c r="J418" s="1"/>
      <c r="K418" s="1"/>
    </row>
    <row r="419" spans="1:11" ht="13.2" x14ac:dyDescent="0.25">
      <c r="A419" s="1"/>
      <c r="B419" s="1"/>
      <c r="C419" s="1"/>
      <c r="D419" s="1"/>
      <c r="E419" s="1"/>
      <c r="F419" s="1"/>
      <c r="G419" s="18"/>
      <c r="H419" s="1"/>
      <c r="I419" s="1"/>
      <c r="J419" s="1"/>
      <c r="K419" s="1"/>
    </row>
    <row r="420" spans="1:11" ht="13.2" x14ac:dyDescent="0.25">
      <c r="A420" s="1"/>
      <c r="B420" s="1"/>
      <c r="C420" s="1"/>
      <c r="D420" s="1"/>
      <c r="E420" s="1"/>
      <c r="F420" s="1"/>
      <c r="G420" s="18"/>
      <c r="H420" s="1"/>
      <c r="I420" s="1"/>
      <c r="J420" s="1"/>
      <c r="K420" s="1"/>
    </row>
    <row r="421" spans="1:11" ht="13.2" x14ac:dyDescent="0.25">
      <c r="A421" s="1"/>
      <c r="B421" s="1"/>
      <c r="C421" s="1"/>
      <c r="D421" s="1"/>
      <c r="E421" s="1"/>
      <c r="F421" s="1"/>
      <c r="G421" s="18"/>
      <c r="H421" s="1"/>
      <c r="I421" s="1"/>
      <c r="J421" s="1"/>
      <c r="K421" s="1"/>
    </row>
    <row r="422" spans="1:11" ht="13.2" x14ac:dyDescent="0.25">
      <c r="A422" s="1"/>
      <c r="B422" s="1"/>
      <c r="C422" s="1"/>
      <c r="D422" s="1"/>
      <c r="E422" s="1"/>
      <c r="F422" s="1"/>
      <c r="G422" s="18"/>
      <c r="H422" s="1"/>
      <c r="I422" s="1"/>
      <c r="J422" s="1"/>
      <c r="K422" s="1"/>
    </row>
    <row r="423" spans="1:11" ht="13.2" x14ac:dyDescent="0.25">
      <c r="A423" s="1"/>
      <c r="B423" s="1"/>
      <c r="C423" s="1"/>
      <c r="D423" s="1"/>
      <c r="E423" s="1"/>
      <c r="F423" s="1"/>
      <c r="G423" s="18"/>
      <c r="H423" s="1"/>
      <c r="I423" s="1"/>
      <c r="J423" s="1"/>
      <c r="K423" s="1"/>
    </row>
    <row r="424" spans="1:11" ht="13.2" x14ac:dyDescent="0.25">
      <c r="A424" s="1"/>
      <c r="B424" s="1"/>
      <c r="C424" s="1"/>
      <c r="D424" s="1"/>
      <c r="E424" s="1"/>
      <c r="F424" s="1"/>
      <c r="G424" s="18"/>
      <c r="H424" s="1"/>
      <c r="I424" s="1"/>
      <c r="J424" s="1"/>
      <c r="K424" s="1"/>
    </row>
    <row r="425" spans="1:11" ht="13.2" x14ac:dyDescent="0.25">
      <c r="A425" s="1"/>
      <c r="B425" s="1"/>
      <c r="C425" s="1"/>
      <c r="D425" s="1"/>
      <c r="E425" s="1"/>
      <c r="F425" s="1"/>
      <c r="G425" s="18"/>
      <c r="H425" s="1"/>
      <c r="I425" s="1"/>
      <c r="J425" s="1"/>
      <c r="K425" s="1"/>
    </row>
    <row r="426" spans="1:11" ht="13.2" x14ac:dyDescent="0.25">
      <c r="A426" s="1"/>
      <c r="B426" s="1"/>
      <c r="C426" s="1"/>
      <c r="D426" s="1"/>
      <c r="E426" s="1"/>
      <c r="F426" s="1"/>
      <c r="G426" s="18"/>
      <c r="H426" s="1"/>
      <c r="I426" s="1"/>
      <c r="J426" s="1"/>
      <c r="K426" s="1"/>
    </row>
    <row r="427" spans="1:11" ht="13.2" x14ac:dyDescent="0.25">
      <c r="A427" s="1"/>
      <c r="B427" s="1"/>
      <c r="C427" s="1"/>
      <c r="D427" s="1"/>
      <c r="E427" s="1"/>
      <c r="F427" s="1"/>
      <c r="G427" s="18"/>
      <c r="H427" s="1"/>
      <c r="I427" s="1"/>
      <c r="J427" s="1"/>
      <c r="K427" s="1"/>
    </row>
    <row r="428" spans="1:11" ht="13.2" x14ac:dyDescent="0.25">
      <c r="A428" s="1"/>
      <c r="B428" s="1"/>
      <c r="C428" s="1"/>
      <c r="D428" s="1"/>
      <c r="E428" s="1"/>
      <c r="F428" s="1"/>
      <c r="G428" s="18"/>
      <c r="H428" s="1"/>
      <c r="I428" s="1"/>
      <c r="J428" s="1"/>
      <c r="K428" s="1"/>
    </row>
    <row r="429" spans="1:11" ht="13.2" x14ac:dyDescent="0.25">
      <c r="A429" s="1"/>
      <c r="B429" s="1"/>
      <c r="C429" s="1"/>
      <c r="D429" s="1"/>
      <c r="E429" s="1"/>
      <c r="F429" s="1"/>
      <c r="G429" s="18"/>
      <c r="H429" s="1"/>
      <c r="I429" s="1"/>
      <c r="J429" s="1"/>
      <c r="K429" s="1"/>
    </row>
    <row r="430" spans="1:11" ht="13.2" x14ac:dyDescent="0.25">
      <c r="A430" s="1"/>
      <c r="B430" s="1"/>
      <c r="C430" s="1"/>
      <c r="D430" s="1"/>
      <c r="E430" s="1"/>
      <c r="F430" s="1"/>
      <c r="G430" s="18"/>
      <c r="H430" s="1"/>
      <c r="I430" s="1"/>
      <c r="J430" s="1"/>
      <c r="K430" s="1"/>
    </row>
    <row r="431" spans="1:11" ht="13.2" x14ac:dyDescent="0.25">
      <c r="A431" s="1"/>
      <c r="B431" s="1"/>
      <c r="C431" s="1"/>
      <c r="D431" s="1"/>
      <c r="E431" s="1"/>
      <c r="F431" s="1"/>
      <c r="G431" s="18"/>
      <c r="H431" s="1"/>
      <c r="I431" s="1"/>
      <c r="J431" s="1"/>
      <c r="K431" s="1"/>
    </row>
    <row r="432" spans="1:11" ht="13.2" x14ac:dyDescent="0.25">
      <c r="A432" s="1"/>
      <c r="B432" s="1"/>
      <c r="C432" s="1"/>
      <c r="D432" s="1"/>
      <c r="E432" s="1"/>
      <c r="F432" s="1"/>
      <c r="G432" s="18"/>
      <c r="H432" s="1"/>
      <c r="I432" s="1"/>
      <c r="J432" s="1"/>
      <c r="K432" s="1"/>
    </row>
    <row r="433" spans="1:11" ht="13.2" x14ac:dyDescent="0.25">
      <c r="A433" s="1"/>
      <c r="B433" s="1"/>
      <c r="C433" s="1"/>
      <c r="D433" s="1"/>
      <c r="E433" s="1"/>
      <c r="F433" s="1"/>
      <c r="G433" s="18"/>
      <c r="H433" s="1"/>
      <c r="I433" s="1"/>
      <c r="J433" s="1"/>
      <c r="K433" s="1"/>
    </row>
    <row r="434" spans="1:11" ht="13.2" x14ac:dyDescent="0.25">
      <c r="A434" s="1"/>
      <c r="B434" s="1"/>
      <c r="C434" s="1"/>
      <c r="D434" s="1"/>
      <c r="E434" s="1"/>
      <c r="F434" s="1"/>
      <c r="G434" s="18"/>
      <c r="H434" s="1"/>
      <c r="I434" s="1"/>
      <c r="J434" s="1"/>
      <c r="K434" s="1"/>
    </row>
    <row r="435" spans="1:11" ht="13.2" x14ac:dyDescent="0.25">
      <c r="A435" s="1"/>
      <c r="B435" s="1"/>
      <c r="C435" s="1"/>
      <c r="D435" s="1"/>
      <c r="E435" s="1"/>
      <c r="F435" s="1"/>
      <c r="G435" s="18"/>
      <c r="H435" s="1"/>
      <c r="I435" s="1"/>
      <c r="J435" s="1"/>
      <c r="K435" s="1"/>
    </row>
    <row r="436" spans="1:11" ht="13.2" x14ac:dyDescent="0.25">
      <c r="A436" s="1"/>
      <c r="B436" s="1"/>
      <c r="C436" s="1"/>
      <c r="D436" s="1"/>
      <c r="E436" s="1"/>
      <c r="F436" s="1"/>
      <c r="G436" s="18"/>
      <c r="H436" s="1"/>
      <c r="I436" s="1"/>
      <c r="J436" s="1"/>
      <c r="K436" s="1"/>
    </row>
    <row r="437" spans="1:11" ht="13.2" x14ac:dyDescent="0.25">
      <c r="A437" s="1"/>
      <c r="B437" s="1"/>
      <c r="C437" s="1"/>
      <c r="D437" s="1"/>
      <c r="E437" s="1"/>
      <c r="F437" s="1"/>
      <c r="G437" s="18"/>
      <c r="H437" s="1"/>
      <c r="I437" s="1"/>
      <c r="J437" s="1"/>
      <c r="K437" s="1"/>
    </row>
    <row r="438" spans="1:11" ht="13.2" x14ac:dyDescent="0.25">
      <c r="A438" s="1"/>
      <c r="B438" s="1"/>
      <c r="C438" s="1"/>
      <c r="D438" s="1"/>
      <c r="E438" s="1"/>
      <c r="F438" s="1"/>
      <c r="G438" s="18"/>
      <c r="H438" s="1"/>
      <c r="I438" s="1"/>
      <c r="J438" s="1"/>
      <c r="K438" s="1"/>
    </row>
    <row r="439" spans="1:11" ht="13.2" x14ac:dyDescent="0.25">
      <c r="A439" s="1"/>
      <c r="B439" s="1"/>
      <c r="C439" s="1"/>
      <c r="D439" s="1"/>
      <c r="E439" s="1"/>
      <c r="F439" s="1"/>
      <c r="G439" s="18"/>
      <c r="H439" s="1"/>
      <c r="I439" s="1"/>
      <c r="J439" s="1"/>
      <c r="K439" s="1"/>
    </row>
    <row r="440" spans="1:11" ht="13.2" x14ac:dyDescent="0.25">
      <c r="A440" s="1"/>
      <c r="B440" s="1"/>
      <c r="C440" s="1"/>
      <c r="D440" s="1"/>
      <c r="E440" s="1"/>
      <c r="F440" s="1"/>
      <c r="G440" s="18"/>
      <c r="H440" s="1"/>
      <c r="I440" s="1"/>
      <c r="J440" s="1"/>
      <c r="K440" s="1"/>
    </row>
    <row r="441" spans="1:11" ht="13.2" x14ac:dyDescent="0.25">
      <c r="A441" s="1"/>
      <c r="B441" s="1"/>
      <c r="C441" s="1"/>
      <c r="D441" s="1"/>
      <c r="E441" s="1"/>
      <c r="F441" s="1"/>
      <c r="G441" s="18"/>
      <c r="H441" s="1"/>
      <c r="I441" s="1"/>
      <c r="J441" s="1"/>
      <c r="K441" s="1"/>
    </row>
    <row r="442" spans="1:11" ht="13.2" x14ac:dyDescent="0.25">
      <c r="A442" s="1"/>
      <c r="B442" s="1"/>
      <c r="C442" s="1"/>
      <c r="D442" s="1"/>
      <c r="E442" s="1"/>
      <c r="F442" s="1"/>
      <c r="G442" s="18"/>
      <c r="H442" s="1"/>
      <c r="I442" s="1"/>
      <c r="J442" s="1"/>
      <c r="K442" s="1"/>
    </row>
    <row r="443" spans="1:11" ht="13.2" x14ac:dyDescent="0.25">
      <c r="A443" s="1"/>
      <c r="B443" s="1"/>
      <c r="C443" s="1"/>
      <c r="D443" s="1"/>
      <c r="E443" s="1"/>
      <c r="F443" s="1"/>
      <c r="G443" s="18"/>
      <c r="H443" s="1"/>
      <c r="I443" s="1"/>
      <c r="J443" s="1"/>
      <c r="K443" s="1"/>
    </row>
    <row r="444" spans="1:11" ht="13.2" x14ac:dyDescent="0.25">
      <c r="A444" s="1"/>
      <c r="B444" s="1"/>
      <c r="C444" s="1"/>
      <c r="D444" s="1"/>
      <c r="E444" s="1"/>
      <c r="F444" s="1"/>
      <c r="G444" s="18"/>
      <c r="H444" s="1"/>
      <c r="I444" s="1"/>
      <c r="J444" s="1"/>
      <c r="K444" s="1"/>
    </row>
    <row r="445" spans="1:11" ht="13.2" x14ac:dyDescent="0.25">
      <c r="A445" s="1"/>
      <c r="B445" s="1"/>
      <c r="C445" s="1"/>
      <c r="D445" s="1"/>
      <c r="E445" s="1"/>
      <c r="F445" s="1"/>
      <c r="G445" s="18"/>
      <c r="H445" s="1"/>
      <c r="I445" s="1"/>
      <c r="J445" s="1"/>
      <c r="K445" s="1"/>
    </row>
    <row r="446" spans="1:11" ht="13.2" x14ac:dyDescent="0.25">
      <c r="A446" s="1"/>
      <c r="B446" s="1"/>
      <c r="C446" s="1"/>
      <c r="D446" s="1"/>
      <c r="E446" s="1"/>
      <c r="F446" s="1"/>
      <c r="G446" s="18"/>
      <c r="H446" s="1"/>
      <c r="I446" s="1"/>
      <c r="J446" s="1"/>
      <c r="K446" s="1"/>
    </row>
    <row r="447" spans="1:11" ht="13.2" x14ac:dyDescent="0.25">
      <c r="A447" s="1"/>
      <c r="B447" s="1"/>
      <c r="C447" s="1"/>
      <c r="D447" s="1"/>
      <c r="E447" s="1"/>
      <c r="F447" s="1"/>
      <c r="G447" s="18"/>
      <c r="H447" s="1"/>
      <c r="I447" s="1"/>
      <c r="J447" s="1"/>
      <c r="K447" s="1"/>
    </row>
    <row r="448" spans="1:11" ht="13.2" x14ac:dyDescent="0.25">
      <c r="A448" s="1"/>
      <c r="B448" s="1"/>
      <c r="C448" s="1"/>
      <c r="D448" s="1"/>
      <c r="E448" s="1"/>
      <c r="F448" s="1"/>
      <c r="G448" s="18"/>
      <c r="H448" s="1"/>
      <c r="I448" s="1"/>
      <c r="J448" s="1"/>
      <c r="K448" s="1"/>
    </row>
    <row r="449" spans="1:11" ht="13.2" x14ac:dyDescent="0.25">
      <c r="A449" s="1"/>
      <c r="B449" s="1"/>
      <c r="C449" s="1"/>
      <c r="D449" s="1"/>
      <c r="E449" s="1"/>
      <c r="F449" s="1"/>
      <c r="G449" s="18"/>
      <c r="H449" s="1"/>
      <c r="I449" s="1"/>
      <c r="J449" s="1"/>
      <c r="K449" s="1"/>
    </row>
    <row r="450" spans="1:11" ht="13.2" x14ac:dyDescent="0.25">
      <c r="A450" s="1"/>
      <c r="B450" s="1"/>
      <c r="C450" s="1"/>
      <c r="D450" s="1"/>
      <c r="E450" s="1"/>
      <c r="F450" s="1"/>
      <c r="G450" s="18"/>
      <c r="H450" s="1"/>
      <c r="I450" s="1"/>
      <c r="J450" s="1"/>
      <c r="K450" s="1"/>
    </row>
    <row r="451" spans="1:11" ht="13.2" x14ac:dyDescent="0.25">
      <c r="A451" s="1"/>
      <c r="B451" s="1"/>
      <c r="C451" s="1"/>
      <c r="D451" s="1"/>
      <c r="E451" s="1"/>
      <c r="F451" s="1"/>
      <c r="G451" s="18"/>
      <c r="H451" s="1"/>
      <c r="I451" s="1"/>
      <c r="J451" s="1"/>
      <c r="K451" s="1"/>
    </row>
    <row r="452" spans="1:11" ht="13.2" x14ac:dyDescent="0.25">
      <c r="A452" s="1"/>
      <c r="B452" s="1"/>
      <c r="C452" s="1"/>
      <c r="D452" s="1"/>
      <c r="E452" s="1"/>
      <c r="F452" s="1"/>
      <c r="G452" s="18"/>
      <c r="H452" s="1"/>
      <c r="I452" s="1"/>
      <c r="J452" s="1"/>
      <c r="K452" s="1"/>
    </row>
    <row r="453" spans="1:11" ht="13.2" x14ac:dyDescent="0.25">
      <c r="A453" s="1"/>
      <c r="B453" s="1"/>
      <c r="C453" s="1"/>
      <c r="D453" s="1"/>
      <c r="E453" s="1"/>
      <c r="F453" s="1"/>
      <c r="G453" s="18"/>
      <c r="H453" s="1"/>
      <c r="I453" s="1"/>
      <c r="J453" s="1"/>
      <c r="K453" s="1"/>
    </row>
    <row r="454" spans="1:11" ht="13.2" x14ac:dyDescent="0.25">
      <c r="A454" s="1"/>
      <c r="B454" s="1"/>
      <c r="C454" s="1"/>
      <c r="D454" s="1"/>
      <c r="E454" s="1"/>
      <c r="F454" s="1"/>
      <c r="G454" s="18"/>
      <c r="H454" s="1"/>
      <c r="I454" s="1"/>
      <c r="J454" s="1"/>
      <c r="K454" s="1"/>
    </row>
    <row r="455" spans="1:11" ht="13.2" x14ac:dyDescent="0.25">
      <c r="A455" s="1"/>
      <c r="B455" s="1"/>
      <c r="C455" s="1"/>
      <c r="D455" s="1"/>
      <c r="E455" s="1"/>
      <c r="F455" s="1"/>
      <c r="G455" s="18"/>
      <c r="H455" s="1"/>
      <c r="I455" s="1"/>
      <c r="J455" s="1"/>
      <c r="K455" s="1"/>
    </row>
    <row r="456" spans="1:11" ht="13.2" x14ac:dyDescent="0.25">
      <c r="A456" s="1"/>
      <c r="B456" s="1"/>
      <c r="C456" s="1"/>
      <c r="D456" s="1"/>
      <c r="E456" s="1"/>
      <c r="F456" s="1"/>
      <c r="G456" s="18"/>
      <c r="H456" s="1"/>
      <c r="I456" s="1"/>
      <c r="J456" s="1"/>
      <c r="K456" s="1"/>
    </row>
    <row r="457" spans="1:11" ht="13.2" x14ac:dyDescent="0.25">
      <c r="A457" s="1"/>
      <c r="B457" s="1"/>
      <c r="C457" s="1"/>
      <c r="D457" s="1"/>
      <c r="E457" s="1"/>
      <c r="F457" s="1"/>
      <c r="G457" s="18"/>
      <c r="H457" s="1"/>
      <c r="I457" s="1"/>
      <c r="J457" s="1"/>
      <c r="K457" s="1"/>
    </row>
    <row r="458" spans="1:11" ht="13.2" x14ac:dyDescent="0.25">
      <c r="A458" s="1"/>
      <c r="B458" s="1"/>
      <c r="C458" s="1"/>
      <c r="D458" s="1"/>
      <c r="E458" s="1"/>
      <c r="F458" s="1"/>
      <c r="G458" s="18"/>
      <c r="H458" s="1"/>
      <c r="I458" s="1"/>
      <c r="J458" s="1"/>
      <c r="K458" s="1"/>
    </row>
    <row r="459" spans="1:11" ht="13.2" x14ac:dyDescent="0.25">
      <c r="A459" s="1"/>
      <c r="B459" s="1"/>
      <c r="C459" s="1"/>
      <c r="D459" s="1"/>
      <c r="E459" s="1"/>
      <c r="F459" s="1"/>
      <c r="G459" s="18"/>
      <c r="H459" s="1"/>
      <c r="I459" s="1"/>
      <c r="J459" s="1"/>
      <c r="K459" s="1"/>
    </row>
    <row r="460" spans="1:11" ht="13.2" x14ac:dyDescent="0.25">
      <c r="A460" s="1"/>
      <c r="B460" s="1"/>
      <c r="C460" s="1"/>
      <c r="D460" s="1"/>
      <c r="E460" s="1"/>
      <c r="F460" s="1"/>
      <c r="G460" s="18"/>
      <c r="H460" s="1"/>
      <c r="I460" s="1"/>
      <c r="J460" s="1"/>
      <c r="K460" s="1"/>
    </row>
    <row r="461" spans="1:11" ht="13.2" x14ac:dyDescent="0.25">
      <c r="A461" s="1"/>
      <c r="B461" s="1"/>
      <c r="C461" s="1"/>
      <c r="D461" s="1"/>
      <c r="E461" s="1"/>
      <c r="F461" s="1"/>
      <c r="G461" s="18"/>
      <c r="H461" s="1"/>
      <c r="I461" s="1"/>
      <c r="J461" s="1"/>
      <c r="K461" s="1"/>
    </row>
    <row r="462" spans="1:11" ht="13.2" x14ac:dyDescent="0.25">
      <c r="A462" s="1"/>
      <c r="B462" s="1"/>
      <c r="C462" s="1"/>
      <c r="D462" s="1"/>
      <c r="E462" s="1"/>
      <c r="F462" s="1"/>
      <c r="G462" s="18"/>
      <c r="H462" s="1"/>
      <c r="I462" s="1"/>
      <c r="J462" s="1"/>
      <c r="K462" s="1"/>
    </row>
    <row r="463" spans="1:11" ht="13.2" x14ac:dyDescent="0.25">
      <c r="A463" s="1"/>
      <c r="B463" s="1"/>
      <c r="C463" s="1"/>
      <c r="D463" s="1"/>
      <c r="E463" s="1"/>
      <c r="F463" s="1"/>
      <c r="G463" s="18"/>
      <c r="H463" s="1"/>
      <c r="I463" s="1"/>
      <c r="J463" s="1"/>
      <c r="K463" s="1"/>
    </row>
    <row r="464" spans="1:11" ht="13.2" x14ac:dyDescent="0.25">
      <c r="A464" s="1"/>
      <c r="B464" s="1"/>
      <c r="C464" s="1"/>
      <c r="D464" s="1"/>
      <c r="E464" s="1"/>
      <c r="F464" s="1"/>
      <c r="G464" s="18"/>
      <c r="H464" s="1"/>
      <c r="I464" s="1"/>
      <c r="J464" s="1"/>
      <c r="K464" s="1"/>
    </row>
    <row r="465" spans="1:11" ht="13.2" x14ac:dyDescent="0.25">
      <c r="A465" s="1"/>
      <c r="B465" s="1"/>
      <c r="C465" s="1"/>
      <c r="D465" s="1"/>
      <c r="E465" s="1"/>
      <c r="F465" s="1"/>
      <c r="G465" s="18"/>
      <c r="H465" s="1"/>
      <c r="I465" s="1"/>
      <c r="J465" s="1"/>
      <c r="K465" s="1"/>
    </row>
    <row r="466" spans="1:11" ht="13.2" x14ac:dyDescent="0.25">
      <c r="A466" s="1"/>
      <c r="B466" s="1"/>
      <c r="C466" s="1"/>
      <c r="D466" s="1"/>
      <c r="E466" s="1"/>
      <c r="F466" s="1"/>
      <c r="G466" s="18"/>
      <c r="H466" s="1"/>
      <c r="I466" s="1"/>
      <c r="J466" s="1"/>
      <c r="K466" s="1"/>
    </row>
    <row r="467" spans="1:11" ht="13.2" x14ac:dyDescent="0.25">
      <c r="A467" s="1"/>
      <c r="B467" s="1"/>
      <c r="C467" s="1"/>
      <c r="D467" s="1"/>
      <c r="E467" s="1"/>
      <c r="F467" s="1"/>
      <c r="G467" s="18"/>
      <c r="H467" s="1"/>
      <c r="I467" s="1"/>
      <c r="J467" s="1"/>
      <c r="K467" s="1"/>
    </row>
    <row r="468" spans="1:11" ht="13.2" x14ac:dyDescent="0.25">
      <c r="A468" s="1"/>
      <c r="B468" s="1"/>
      <c r="C468" s="1"/>
      <c r="D468" s="1"/>
      <c r="E468" s="1"/>
      <c r="F468" s="1"/>
      <c r="G468" s="18"/>
      <c r="H468" s="1"/>
      <c r="I468" s="1"/>
      <c r="J468" s="1"/>
      <c r="K468" s="1"/>
    </row>
    <row r="469" spans="1:11" ht="13.2" x14ac:dyDescent="0.25">
      <c r="A469" s="1"/>
      <c r="B469" s="1"/>
      <c r="C469" s="1"/>
      <c r="D469" s="1"/>
      <c r="E469" s="1"/>
      <c r="F469" s="1"/>
      <c r="G469" s="18"/>
      <c r="H469" s="1"/>
      <c r="I469" s="1"/>
      <c r="J469" s="1"/>
      <c r="K469" s="1"/>
    </row>
    <row r="470" spans="1:11" ht="13.2" x14ac:dyDescent="0.25">
      <c r="A470" s="1"/>
      <c r="B470" s="1"/>
      <c r="C470" s="1"/>
      <c r="D470" s="1"/>
      <c r="E470" s="1"/>
      <c r="F470" s="1"/>
      <c r="G470" s="18"/>
      <c r="H470" s="1"/>
      <c r="I470" s="1"/>
      <c r="J470" s="1"/>
      <c r="K470" s="1"/>
    </row>
    <row r="471" spans="1:11" ht="13.2" x14ac:dyDescent="0.25">
      <c r="A471" s="1"/>
      <c r="B471" s="1"/>
      <c r="C471" s="1"/>
      <c r="D471" s="1"/>
      <c r="E471" s="1"/>
      <c r="F471" s="1"/>
      <c r="G471" s="18"/>
      <c r="H471" s="1"/>
      <c r="I471" s="1"/>
      <c r="J471" s="1"/>
      <c r="K471" s="1"/>
    </row>
    <row r="472" spans="1:11" ht="13.2" x14ac:dyDescent="0.25">
      <c r="A472" s="1"/>
      <c r="B472" s="1"/>
      <c r="C472" s="1"/>
      <c r="D472" s="1"/>
      <c r="E472" s="1"/>
      <c r="F472" s="1"/>
      <c r="G472" s="18"/>
      <c r="H472" s="1"/>
      <c r="I472" s="1"/>
      <c r="J472" s="1"/>
      <c r="K472" s="1"/>
    </row>
    <row r="473" spans="1:11" ht="13.2" x14ac:dyDescent="0.25">
      <c r="A473" s="1"/>
      <c r="B473" s="1"/>
      <c r="C473" s="1"/>
      <c r="D473" s="1"/>
      <c r="E473" s="1"/>
      <c r="F473" s="1"/>
      <c r="G473" s="18"/>
      <c r="H473" s="1"/>
      <c r="I473" s="1"/>
      <c r="J473" s="1"/>
      <c r="K473" s="1"/>
    </row>
    <row r="474" spans="1:11" ht="13.2" x14ac:dyDescent="0.25">
      <c r="A474" s="1"/>
      <c r="B474" s="1"/>
      <c r="C474" s="1"/>
      <c r="D474" s="1"/>
      <c r="E474" s="1"/>
      <c r="F474" s="1"/>
      <c r="G474" s="18"/>
      <c r="H474" s="1"/>
      <c r="I474" s="1"/>
      <c r="J474" s="1"/>
      <c r="K474" s="1"/>
    </row>
    <row r="475" spans="1:11" ht="13.2" x14ac:dyDescent="0.25">
      <c r="A475" s="1"/>
      <c r="B475" s="1"/>
      <c r="C475" s="1"/>
      <c r="D475" s="1"/>
      <c r="E475" s="1"/>
      <c r="F475" s="1"/>
      <c r="G475" s="18"/>
      <c r="H475" s="1"/>
      <c r="I475" s="1"/>
      <c r="J475" s="1"/>
      <c r="K475" s="1"/>
    </row>
    <row r="476" spans="1:11" ht="13.2" x14ac:dyDescent="0.25">
      <c r="A476" s="1"/>
      <c r="B476" s="1"/>
      <c r="C476" s="1"/>
      <c r="D476" s="1"/>
      <c r="E476" s="1"/>
      <c r="F476" s="1"/>
      <c r="G476" s="18"/>
      <c r="H476" s="1"/>
      <c r="I476" s="1"/>
      <c r="J476" s="1"/>
      <c r="K476" s="1"/>
    </row>
    <row r="477" spans="1:11" ht="13.2" x14ac:dyDescent="0.25">
      <c r="A477" s="1"/>
      <c r="B477" s="1"/>
      <c r="C477" s="1"/>
      <c r="D477" s="1"/>
      <c r="E477" s="1"/>
      <c r="F477" s="1"/>
      <c r="G477" s="18"/>
      <c r="H477" s="1"/>
      <c r="I477" s="1"/>
      <c r="J477" s="1"/>
      <c r="K477" s="1"/>
    </row>
    <row r="478" spans="1:11" ht="13.2" x14ac:dyDescent="0.25">
      <c r="A478" s="1"/>
      <c r="B478" s="1"/>
      <c r="C478" s="1"/>
      <c r="D478" s="1"/>
      <c r="E478" s="1"/>
      <c r="F478" s="1"/>
      <c r="G478" s="18"/>
      <c r="H478" s="1"/>
      <c r="I478" s="1"/>
      <c r="J478" s="1"/>
      <c r="K478" s="1"/>
    </row>
    <row r="479" spans="1:11" ht="13.2" x14ac:dyDescent="0.25">
      <c r="A479" s="1"/>
      <c r="B479" s="1"/>
      <c r="C479" s="1"/>
      <c r="D479" s="1"/>
      <c r="E479" s="1"/>
      <c r="F479" s="1"/>
      <c r="G479" s="18"/>
      <c r="H479" s="1"/>
      <c r="I479" s="1"/>
      <c r="J479" s="1"/>
      <c r="K479" s="1"/>
    </row>
    <row r="480" spans="1:11" ht="13.2" x14ac:dyDescent="0.25">
      <c r="A480" s="1"/>
      <c r="B480" s="1"/>
      <c r="C480" s="1"/>
      <c r="D480" s="1"/>
      <c r="E480" s="1"/>
      <c r="F480" s="1"/>
      <c r="G480" s="18"/>
      <c r="H480" s="1"/>
      <c r="I480" s="1"/>
      <c r="J480" s="1"/>
      <c r="K480" s="1"/>
    </row>
    <row r="481" spans="1:11" ht="13.2" x14ac:dyDescent="0.25">
      <c r="A481" s="1"/>
      <c r="B481" s="1"/>
      <c r="C481" s="1"/>
      <c r="D481" s="1"/>
      <c r="E481" s="1"/>
      <c r="F481" s="1"/>
      <c r="G481" s="18"/>
      <c r="H481" s="1"/>
      <c r="I481" s="1"/>
      <c r="J481" s="1"/>
      <c r="K481" s="1"/>
    </row>
    <row r="482" spans="1:11" ht="13.2" x14ac:dyDescent="0.25">
      <c r="A482" s="1"/>
      <c r="B482" s="1"/>
      <c r="C482" s="1"/>
      <c r="D482" s="1"/>
      <c r="E482" s="1"/>
      <c r="F482" s="1"/>
      <c r="G482" s="18"/>
      <c r="H482" s="1"/>
      <c r="I482" s="1"/>
      <c r="J482" s="1"/>
      <c r="K482" s="1"/>
    </row>
    <row r="483" spans="1:11" ht="13.2" x14ac:dyDescent="0.25">
      <c r="A483" s="1"/>
      <c r="B483" s="1"/>
      <c r="C483" s="1"/>
      <c r="D483" s="1"/>
      <c r="E483" s="1"/>
      <c r="F483" s="1"/>
      <c r="G483" s="18"/>
      <c r="H483" s="1"/>
      <c r="I483" s="1"/>
      <c r="J483" s="1"/>
      <c r="K483" s="1"/>
    </row>
    <row r="484" spans="1:11" ht="13.2" x14ac:dyDescent="0.25">
      <c r="A484" s="1"/>
      <c r="B484" s="1"/>
      <c r="C484" s="1"/>
      <c r="D484" s="1"/>
      <c r="E484" s="1"/>
      <c r="F484" s="1"/>
      <c r="G484" s="18"/>
      <c r="H484" s="1"/>
      <c r="I484" s="1"/>
      <c r="J484" s="1"/>
      <c r="K484" s="1"/>
    </row>
    <row r="485" spans="1:11" ht="13.2" x14ac:dyDescent="0.25">
      <c r="A485" s="1"/>
      <c r="B485" s="1"/>
      <c r="C485" s="1"/>
      <c r="D485" s="1"/>
      <c r="E485" s="1"/>
      <c r="F485" s="1"/>
      <c r="G485" s="18"/>
      <c r="H485" s="1"/>
      <c r="I485" s="1"/>
      <c r="J485" s="1"/>
      <c r="K485" s="1"/>
    </row>
    <row r="486" spans="1:11" ht="13.2" x14ac:dyDescent="0.25">
      <c r="A486" s="1"/>
      <c r="B486" s="1"/>
      <c r="C486" s="1"/>
      <c r="D486" s="1"/>
      <c r="E486" s="1"/>
      <c r="F486" s="1"/>
      <c r="G486" s="18"/>
      <c r="H486" s="1"/>
      <c r="I486" s="1"/>
      <c r="J486" s="1"/>
      <c r="K486" s="1"/>
    </row>
    <row r="487" spans="1:11" ht="13.2" x14ac:dyDescent="0.25">
      <c r="A487" s="1"/>
      <c r="B487" s="1"/>
      <c r="C487" s="1"/>
      <c r="D487" s="1"/>
      <c r="E487" s="1"/>
      <c r="F487" s="1"/>
      <c r="G487" s="18"/>
      <c r="H487" s="1"/>
      <c r="I487" s="1"/>
      <c r="J487" s="1"/>
      <c r="K487" s="1"/>
    </row>
    <row r="488" spans="1:11" ht="13.2" x14ac:dyDescent="0.25">
      <c r="A488" s="1"/>
      <c r="B488" s="1"/>
      <c r="C488" s="1"/>
      <c r="D488" s="1"/>
      <c r="E488" s="1"/>
      <c r="F488" s="1"/>
      <c r="G488" s="18"/>
      <c r="H488" s="1"/>
      <c r="I488" s="1"/>
      <c r="J488" s="1"/>
      <c r="K488" s="1"/>
    </row>
    <row r="489" spans="1:11" ht="13.2" x14ac:dyDescent="0.25">
      <c r="A489" s="1"/>
      <c r="B489" s="1"/>
      <c r="C489" s="1"/>
      <c r="D489" s="1"/>
      <c r="E489" s="1"/>
      <c r="F489" s="1"/>
      <c r="G489" s="18"/>
      <c r="H489" s="1"/>
      <c r="I489" s="1"/>
      <c r="J489" s="1"/>
      <c r="K489" s="1"/>
    </row>
    <row r="490" spans="1:11" ht="13.2" x14ac:dyDescent="0.25">
      <c r="A490" s="1"/>
      <c r="B490" s="1"/>
      <c r="C490" s="1"/>
      <c r="D490" s="1"/>
      <c r="E490" s="1"/>
      <c r="F490" s="1"/>
      <c r="G490" s="18"/>
      <c r="H490" s="1"/>
      <c r="I490" s="1"/>
      <c r="J490" s="1"/>
      <c r="K490" s="1"/>
    </row>
    <row r="491" spans="1:11" ht="13.2" x14ac:dyDescent="0.25">
      <c r="A491" s="1"/>
      <c r="B491" s="1"/>
      <c r="C491" s="1"/>
      <c r="D491" s="1"/>
      <c r="E491" s="1"/>
      <c r="F491" s="1"/>
      <c r="G491" s="18"/>
      <c r="H491" s="1"/>
      <c r="I491" s="1"/>
      <c r="J491" s="1"/>
      <c r="K491" s="1"/>
    </row>
    <row r="492" spans="1:11" ht="13.2" x14ac:dyDescent="0.25">
      <c r="A492" s="1"/>
      <c r="B492" s="1"/>
      <c r="C492" s="1"/>
      <c r="D492" s="1"/>
      <c r="E492" s="1"/>
      <c r="F492" s="1"/>
      <c r="G492" s="18"/>
      <c r="H492" s="1"/>
      <c r="I492" s="1"/>
      <c r="J492" s="1"/>
      <c r="K492" s="1"/>
    </row>
    <row r="493" spans="1:11" ht="13.2" x14ac:dyDescent="0.25">
      <c r="A493" s="1"/>
      <c r="B493" s="1"/>
      <c r="C493" s="1"/>
      <c r="D493" s="1"/>
      <c r="E493" s="1"/>
      <c r="F493" s="1"/>
      <c r="G493" s="18"/>
      <c r="H493" s="1"/>
      <c r="I493" s="1"/>
      <c r="J493" s="1"/>
      <c r="K493" s="1"/>
    </row>
    <row r="494" spans="1:11" ht="13.2" x14ac:dyDescent="0.25">
      <c r="A494" s="1"/>
      <c r="B494" s="1"/>
      <c r="C494" s="1"/>
      <c r="D494" s="1"/>
      <c r="E494" s="1"/>
      <c r="F494" s="1"/>
      <c r="G494" s="18"/>
      <c r="H494" s="1"/>
      <c r="I494" s="1"/>
      <c r="J494" s="1"/>
      <c r="K494" s="1"/>
    </row>
    <row r="495" spans="1:11" ht="13.2" x14ac:dyDescent="0.25">
      <c r="A495" s="1"/>
      <c r="B495" s="1"/>
      <c r="C495" s="1"/>
      <c r="D495" s="1"/>
      <c r="E495" s="1"/>
      <c r="F495" s="1"/>
      <c r="G495" s="18"/>
      <c r="H495" s="1"/>
      <c r="I495" s="1"/>
      <c r="J495" s="1"/>
      <c r="K495" s="1"/>
    </row>
    <row r="496" spans="1:11" ht="13.2" x14ac:dyDescent="0.25">
      <c r="A496" s="1"/>
      <c r="B496" s="1"/>
      <c r="C496" s="1"/>
      <c r="D496" s="1"/>
      <c r="E496" s="1"/>
      <c r="F496" s="1"/>
      <c r="G496" s="18"/>
      <c r="H496" s="1"/>
      <c r="I496" s="1"/>
      <c r="J496" s="1"/>
      <c r="K496" s="1"/>
    </row>
    <row r="497" spans="1:11" ht="13.2" x14ac:dyDescent="0.25">
      <c r="A497" s="1"/>
      <c r="B497" s="1"/>
      <c r="C497" s="1"/>
      <c r="D497" s="1"/>
      <c r="E497" s="1"/>
      <c r="F497" s="1"/>
      <c r="G497" s="18"/>
      <c r="H497" s="1"/>
      <c r="I497" s="1"/>
      <c r="J497" s="1"/>
      <c r="K497" s="1"/>
    </row>
    <row r="498" spans="1:11" ht="13.2" x14ac:dyDescent="0.25">
      <c r="A498" s="1"/>
      <c r="B498" s="1"/>
      <c r="C498" s="1"/>
      <c r="D498" s="1"/>
      <c r="E498" s="1"/>
      <c r="F498" s="1"/>
      <c r="G498" s="18"/>
      <c r="H498" s="1"/>
      <c r="I498" s="1"/>
      <c r="J498" s="1"/>
      <c r="K498" s="1"/>
    </row>
    <row r="499" spans="1:11" ht="13.2" x14ac:dyDescent="0.25">
      <c r="A499" s="1"/>
      <c r="B499" s="1"/>
      <c r="C499" s="1"/>
      <c r="D499" s="1"/>
      <c r="E499" s="1"/>
      <c r="F499" s="1"/>
      <c r="G499" s="18"/>
      <c r="H499" s="1"/>
      <c r="I499" s="1"/>
      <c r="J499" s="1"/>
      <c r="K499" s="1"/>
    </row>
    <row r="500" spans="1:11" ht="13.2" x14ac:dyDescent="0.25">
      <c r="A500" s="1"/>
      <c r="B500" s="1"/>
      <c r="C500" s="1"/>
      <c r="D500" s="1"/>
      <c r="E500" s="1"/>
      <c r="F500" s="1"/>
      <c r="G500" s="18"/>
      <c r="H500" s="1"/>
      <c r="I500" s="1"/>
      <c r="J500" s="1"/>
      <c r="K500" s="1"/>
    </row>
    <row r="501" spans="1:11" ht="13.2" x14ac:dyDescent="0.25">
      <c r="A501" s="1"/>
      <c r="B501" s="1"/>
      <c r="C501" s="1"/>
      <c r="D501" s="1"/>
      <c r="E501" s="1"/>
      <c r="F501" s="1"/>
      <c r="G501" s="18"/>
      <c r="H501" s="1"/>
      <c r="I501" s="1"/>
      <c r="J501" s="1"/>
      <c r="K501" s="1"/>
    </row>
    <row r="502" spans="1:11" ht="13.2" x14ac:dyDescent="0.25">
      <c r="A502" s="1"/>
      <c r="B502" s="1"/>
      <c r="C502" s="1"/>
      <c r="D502" s="1"/>
      <c r="E502" s="1"/>
      <c r="F502" s="1"/>
      <c r="G502" s="18"/>
      <c r="H502" s="1"/>
      <c r="I502" s="1"/>
      <c r="J502" s="1"/>
      <c r="K502" s="1"/>
    </row>
    <row r="503" spans="1:11" ht="13.2" x14ac:dyDescent="0.25">
      <c r="A503" s="1"/>
      <c r="B503" s="1"/>
      <c r="C503" s="1"/>
      <c r="D503" s="1"/>
      <c r="E503" s="1"/>
      <c r="F503" s="1"/>
      <c r="G503" s="18"/>
      <c r="H503" s="1"/>
      <c r="I503" s="1"/>
      <c r="J503" s="1"/>
      <c r="K503" s="1"/>
    </row>
    <row r="504" spans="1:11" ht="13.2" x14ac:dyDescent="0.25">
      <c r="A504" s="1"/>
      <c r="B504" s="1"/>
      <c r="C504" s="1"/>
      <c r="D504" s="1"/>
      <c r="E504" s="1"/>
      <c r="F504" s="1"/>
      <c r="G504" s="18"/>
      <c r="H504" s="1"/>
      <c r="I504" s="1"/>
      <c r="J504" s="1"/>
      <c r="K504" s="1"/>
    </row>
    <row r="505" spans="1:11" ht="13.2" x14ac:dyDescent="0.25">
      <c r="A505" s="1"/>
      <c r="B505" s="1"/>
      <c r="C505" s="1"/>
      <c r="D505" s="1"/>
      <c r="E505" s="1"/>
      <c r="F505" s="1"/>
      <c r="G505" s="18"/>
      <c r="H505" s="1"/>
      <c r="I505" s="1"/>
      <c r="J505" s="1"/>
      <c r="K505" s="1"/>
    </row>
    <row r="506" spans="1:11" ht="13.2" x14ac:dyDescent="0.25">
      <c r="A506" s="1"/>
      <c r="B506" s="1"/>
      <c r="C506" s="1"/>
      <c r="D506" s="1"/>
      <c r="E506" s="1"/>
      <c r="F506" s="1"/>
      <c r="G506" s="18"/>
      <c r="H506" s="1"/>
      <c r="I506" s="1"/>
      <c r="J506" s="1"/>
      <c r="K506" s="1"/>
    </row>
    <row r="507" spans="1:11" ht="13.2" x14ac:dyDescent="0.25">
      <c r="A507" s="1"/>
      <c r="B507" s="1"/>
      <c r="C507" s="1"/>
      <c r="D507" s="1"/>
      <c r="E507" s="1"/>
      <c r="F507" s="1"/>
      <c r="G507" s="18"/>
      <c r="H507" s="1"/>
      <c r="I507" s="1"/>
      <c r="J507" s="1"/>
      <c r="K507" s="1"/>
    </row>
    <row r="508" spans="1:11" ht="13.2" x14ac:dyDescent="0.25">
      <c r="A508" s="1"/>
      <c r="B508" s="1"/>
      <c r="C508" s="1"/>
      <c r="D508" s="1"/>
      <c r="E508" s="1"/>
      <c r="F508" s="1"/>
      <c r="G508" s="18"/>
      <c r="H508" s="1"/>
      <c r="I508" s="1"/>
      <c r="J508" s="1"/>
      <c r="K508" s="1"/>
    </row>
    <row r="509" spans="1:11" ht="13.2" x14ac:dyDescent="0.25">
      <c r="A509" s="1"/>
      <c r="B509" s="1"/>
      <c r="C509" s="1"/>
      <c r="D509" s="1"/>
      <c r="E509" s="1"/>
      <c r="F509" s="1"/>
      <c r="G509" s="18"/>
      <c r="H509" s="1"/>
      <c r="I509" s="1"/>
      <c r="J509" s="1"/>
      <c r="K509" s="1"/>
    </row>
    <row r="510" spans="1:11" ht="13.2" x14ac:dyDescent="0.25">
      <c r="A510" s="1"/>
      <c r="B510" s="1"/>
      <c r="C510" s="1"/>
      <c r="D510" s="1"/>
      <c r="E510" s="1"/>
      <c r="F510" s="1"/>
      <c r="G510" s="18"/>
      <c r="H510" s="1"/>
      <c r="I510" s="1"/>
      <c r="J510" s="1"/>
      <c r="K510" s="1"/>
    </row>
    <row r="511" spans="1:11" ht="13.2" x14ac:dyDescent="0.25">
      <c r="A511" s="1"/>
      <c r="B511" s="1"/>
      <c r="C511" s="1"/>
      <c r="D511" s="1"/>
      <c r="E511" s="1"/>
      <c r="F511" s="1"/>
      <c r="G511" s="18"/>
      <c r="H511" s="1"/>
      <c r="I511" s="1"/>
      <c r="J511" s="1"/>
      <c r="K511" s="1"/>
    </row>
    <row r="512" spans="1:11" ht="13.2" x14ac:dyDescent="0.25">
      <c r="A512" s="1"/>
      <c r="B512" s="1"/>
      <c r="C512" s="1"/>
      <c r="D512" s="1"/>
      <c r="E512" s="1"/>
      <c r="F512" s="1"/>
      <c r="G512" s="18"/>
      <c r="H512" s="1"/>
      <c r="I512" s="1"/>
      <c r="J512" s="1"/>
      <c r="K512" s="1"/>
    </row>
    <row r="513" spans="1:11" ht="13.2" x14ac:dyDescent="0.25">
      <c r="A513" s="1"/>
      <c r="B513" s="1"/>
      <c r="C513" s="1"/>
      <c r="D513" s="1"/>
      <c r="E513" s="1"/>
      <c r="F513" s="1"/>
      <c r="G513" s="18"/>
      <c r="H513" s="1"/>
      <c r="I513" s="1"/>
      <c r="J513" s="1"/>
      <c r="K513" s="1"/>
    </row>
    <row r="514" spans="1:11" ht="13.2" x14ac:dyDescent="0.25">
      <c r="A514" s="1"/>
      <c r="B514" s="1"/>
      <c r="C514" s="1"/>
      <c r="D514" s="1"/>
      <c r="E514" s="1"/>
      <c r="F514" s="1"/>
      <c r="G514" s="18"/>
      <c r="H514" s="1"/>
      <c r="I514" s="1"/>
      <c r="J514" s="1"/>
      <c r="K514" s="1"/>
    </row>
    <row r="515" spans="1:11" ht="13.2" x14ac:dyDescent="0.25">
      <c r="A515" s="1"/>
      <c r="B515" s="1"/>
      <c r="C515" s="1"/>
      <c r="D515" s="1"/>
      <c r="E515" s="1"/>
      <c r="F515" s="1"/>
      <c r="G515" s="18"/>
      <c r="H515" s="1"/>
      <c r="I515" s="1"/>
      <c r="J515" s="1"/>
      <c r="K515" s="1"/>
    </row>
    <row r="516" spans="1:11" ht="13.2" x14ac:dyDescent="0.25">
      <c r="A516" s="1"/>
      <c r="B516" s="1"/>
      <c r="C516" s="1"/>
      <c r="D516" s="1"/>
      <c r="E516" s="1"/>
      <c r="F516" s="1"/>
      <c r="G516" s="18"/>
      <c r="H516" s="1"/>
      <c r="I516" s="1"/>
      <c r="J516" s="1"/>
      <c r="K516" s="1"/>
    </row>
    <row r="517" spans="1:11" ht="13.2" x14ac:dyDescent="0.25">
      <c r="A517" s="1"/>
      <c r="B517" s="1"/>
      <c r="C517" s="1"/>
      <c r="D517" s="1"/>
      <c r="E517" s="1"/>
      <c r="F517" s="1"/>
      <c r="G517" s="18"/>
      <c r="H517" s="1"/>
      <c r="I517" s="1"/>
      <c r="J517" s="1"/>
      <c r="K517" s="1"/>
    </row>
    <row r="518" spans="1:11" ht="13.2" x14ac:dyDescent="0.25">
      <c r="A518" s="1"/>
      <c r="B518" s="1"/>
      <c r="C518" s="1"/>
      <c r="D518" s="1"/>
      <c r="E518" s="1"/>
      <c r="F518" s="1"/>
      <c r="G518" s="18"/>
      <c r="H518" s="1"/>
      <c r="I518" s="1"/>
      <c r="J518" s="1"/>
      <c r="K518" s="1"/>
    </row>
    <row r="519" spans="1:11" ht="13.2" x14ac:dyDescent="0.25">
      <c r="A519" s="1"/>
      <c r="B519" s="1"/>
      <c r="C519" s="1"/>
      <c r="D519" s="1"/>
      <c r="E519" s="1"/>
      <c r="F519" s="1"/>
      <c r="G519" s="18"/>
      <c r="H519" s="1"/>
      <c r="I519" s="1"/>
      <c r="J519" s="1"/>
      <c r="K519" s="1"/>
    </row>
    <row r="520" spans="1:11" ht="13.2" x14ac:dyDescent="0.25">
      <c r="A520" s="1"/>
      <c r="B520" s="1"/>
      <c r="C520" s="1"/>
      <c r="D520" s="1"/>
      <c r="E520" s="1"/>
      <c r="F520" s="1"/>
      <c r="G520" s="18"/>
      <c r="H520" s="1"/>
      <c r="I520" s="1"/>
      <c r="J520" s="1"/>
      <c r="K520" s="1"/>
    </row>
    <row r="521" spans="1:11" ht="13.2" x14ac:dyDescent="0.25">
      <c r="A521" s="1"/>
      <c r="B521" s="1"/>
      <c r="C521" s="1"/>
      <c r="D521" s="1"/>
      <c r="E521" s="1"/>
      <c r="F521" s="1"/>
      <c r="G521" s="18"/>
      <c r="H521" s="1"/>
      <c r="I521" s="1"/>
      <c r="J521" s="1"/>
      <c r="K521" s="1"/>
    </row>
    <row r="522" spans="1:11" ht="13.2" x14ac:dyDescent="0.25">
      <c r="A522" s="1"/>
      <c r="B522" s="1"/>
      <c r="C522" s="1"/>
      <c r="D522" s="1"/>
      <c r="E522" s="1"/>
      <c r="F522" s="1"/>
      <c r="G522" s="18"/>
      <c r="H522" s="1"/>
      <c r="I522" s="1"/>
      <c r="J522" s="1"/>
      <c r="K522" s="1"/>
    </row>
    <row r="523" spans="1:11" ht="13.2" x14ac:dyDescent="0.25">
      <c r="A523" s="1"/>
      <c r="B523" s="1"/>
      <c r="C523" s="1"/>
      <c r="D523" s="1"/>
      <c r="E523" s="1"/>
      <c r="F523" s="1"/>
      <c r="G523" s="18"/>
      <c r="H523" s="1"/>
      <c r="I523" s="1"/>
      <c r="J523" s="1"/>
      <c r="K523" s="1"/>
    </row>
    <row r="524" spans="1:11" ht="13.2" x14ac:dyDescent="0.25">
      <c r="A524" s="1"/>
      <c r="B524" s="1"/>
      <c r="C524" s="1"/>
      <c r="D524" s="1"/>
      <c r="E524" s="1"/>
      <c r="F524" s="1"/>
      <c r="G524" s="18"/>
      <c r="H524" s="1"/>
      <c r="I524" s="1"/>
      <c r="J524" s="1"/>
      <c r="K524" s="1"/>
    </row>
    <row r="525" spans="1:11" ht="13.2" x14ac:dyDescent="0.25">
      <c r="A525" s="1"/>
      <c r="B525" s="1"/>
      <c r="C525" s="1"/>
      <c r="D525" s="1"/>
      <c r="E525" s="1"/>
      <c r="F525" s="1"/>
      <c r="G525" s="18"/>
      <c r="H525" s="1"/>
      <c r="I525" s="1"/>
      <c r="J525" s="1"/>
      <c r="K525" s="1"/>
    </row>
    <row r="526" spans="1:11" ht="13.2" x14ac:dyDescent="0.25">
      <c r="A526" s="1"/>
      <c r="B526" s="1"/>
      <c r="C526" s="1"/>
      <c r="D526" s="1"/>
      <c r="E526" s="1"/>
      <c r="F526" s="1"/>
      <c r="G526" s="18"/>
      <c r="H526" s="1"/>
      <c r="I526" s="1"/>
      <c r="J526" s="1"/>
      <c r="K526" s="1"/>
    </row>
    <row r="527" spans="1:11" ht="13.2" x14ac:dyDescent="0.25">
      <c r="A527" s="1"/>
      <c r="B527" s="1"/>
      <c r="C527" s="1"/>
      <c r="D527" s="1"/>
      <c r="E527" s="1"/>
      <c r="F527" s="1"/>
      <c r="G527" s="18"/>
      <c r="H527" s="1"/>
      <c r="I527" s="1"/>
      <c r="J527" s="1"/>
      <c r="K527" s="1"/>
    </row>
    <row r="528" spans="1:11" ht="13.2" x14ac:dyDescent="0.25">
      <c r="A528" s="1"/>
      <c r="B528" s="1"/>
      <c r="C528" s="1"/>
      <c r="D528" s="1"/>
      <c r="E528" s="1"/>
      <c r="F528" s="1"/>
      <c r="G528" s="18"/>
      <c r="H528" s="1"/>
      <c r="I528" s="1"/>
      <c r="J528" s="1"/>
      <c r="K528" s="1"/>
    </row>
    <row r="529" spans="1:11" ht="13.2" x14ac:dyDescent="0.25">
      <c r="A529" s="1"/>
      <c r="B529" s="1"/>
      <c r="C529" s="1"/>
      <c r="D529" s="1"/>
      <c r="E529" s="1"/>
      <c r="F529" s="1"/>
      <c r="G529" s="18"/>
      <c r="H529" s="1"/>
      <c r="I529" s="1"/>
      <c r="J529" s="1"/>
      <c r="K529" s="1"/>
    </row>
    <row r="530" spans="1:11" ht="13.2" x14ac:dyDescent="0.25">
      <c r="A530" s="1"/>
      <c r="B530" s="1"/>
      <c r="C530" s="1"/>
      <c r="D530" s="1"/>
      <c r="E530" s="1"/>
      <c r="F530" s="1"/>
      <c r="G530" s="18"/>
      <c r="H530" s="1"/>
      <c r="I530" s="1"/>
      <c r="J530" s="1"/>
      <c r="K530" s="1"/>
    </row>
    <row r="531" spans="1:11" ht="13.2" x14ac:dyDescent="0.25">
      <c r="A531" s="1"/>
      <c r="B531" s="1"/>
      <c r="C531" s="1"/>
      <c r="D531" s="1"/>
      <c r="E531" s="1"/>
      <c r="F531" s="1"/>
      <c r="G531" s="18"/>
      <c r="H531" s="1"/>
      <c r="I531" s="1"/>
      <c r="J531" s="1"/>
      <c r="K531" s="1"/>
    </row>
    <row r="532" spans="1:11" ht="13.2" x14ac:dyDescent="0.25">
      <c r="A532" s="1"/>
      <c r="B532" s="1"/>
      <c r="C532" s="1"/>
      <c r="D532" s="1"/>
      <c r="E532" s="1"/>
      <c r="F532" s="1"/>
      <c r="G532" s="18"/>
      <c r="H532" s="1"/>
      <c r="I532" s="1"/>
      <c r="J532" s="1"/>
      <c r="K532" s="1"/>
    </row>
    <row r="533" spans="1:11" ht="13.2" x14ac:dyDescent="0.25">
      <c r="A533" s="1"/>
      <c r="B533" s="1"/>
      <c r="C533" s="1"/>
      <c r="D533" s="1"/>
      <c r="E533" s="1"/>
      <c r="F533" s="1"/>
      <c r="G533" s="18"/>
      <c r="H533" s="1"/>
      <c r="I533" s="1"/>
      <c r="J533" s="1"/>
      <c r="K533" s="1"/>
    </row>
    <row r="534" spans="1:11" ht="13.2" x14ac:dyDescent="0.25">
      <c r="A534" s="1"/>
      <c r="B534" s="1"/>
      <c r="C534" s="1"/>
      <c r="D534" s="1"/>
      <c r="E534" s="1"/>
      <c r="F534" s="1"/>
      <c r="G534" s="18"/>
      <c r="H534" s="1"/>
      <c r="I534" s="1"/>
      <c r="J534" s="1"/>
      <c r="K534" s="1"/>
    </row>
    <row r="535" spans="1:11" ht="13.2" x14ac:dyDescent="0.25">
      <c r="A535" s="1"/>
      <c r="B535" s="1"/>
      <c r="C535" s="1"/>
      <c r="D535" s="1"/>
      <c r="E535" s="1"/>
      <c r="F535" s="1"/>
      <c r="G535" s="18"/>
      <c r="H535" s="1"/>
      <c r="I535" s="1"/>
      <c r="J535" s="1"/>
      <c r="K535" s="1"/>
    </row>
    <row r="536" spans="1:11" ht="13.2" x14ac:dyDescent="0.25">
      <c r="A536" s="1"/>
      <c r="B536" s="1"/>
      <c r="C536" s="1"/>
      <c r="D536" s="1"/>
      <c r="E536" s="1"/>
      <c r="F536" s="1"/>
      <c r="G536" s="18"/>
      <c r="H536" s="1"/>
      <c r="I536" s="1"/>
      <c r="J536" s="1"/>
      <c r="K536" s="1"/>
    </row>
    <row r="537" spans="1:11" ht="13.2" x14ac:dyDescent="0.25">
      <c r="A537" s="1"/>
      <c r="B537" s="1"/>
      <c r="C537" s="1"/>
      <c r="D537" s="1"/>
      <c r="E537" s="1"/>
      <c r="F537" s="1"/>
      <c r="G537" s="18"/>
      <c r="H537" s="1"/>
      <c r="I537" s="1"/>
      <c r="J537" s="1"/>
      <c r="K537" s="1"/>
    </row>
    <row r="538" spans="1:11" ht="13.2" x14ac:dyDescent="0.25">
      <c r="A538" s="1"/>
      <c r="B538" s="1"/>
      <c r="C538" s="1"/>
      <c r="D538" s="1"/>
      <c r="E538" s="1"/>
      <c r="F538" s="1"/>
      <c r="G538" s="18"/>
      <c r="H538" s="1"/>
      <c r="I538" s="1"/>
      <c r="J538" s="1"/>
      <c r="K538" s="1"/>
    </row>
    <row r="539" spans="1:11" ht="13.2" x14ac:dyDescent="0.25">
      <c r="A539" s="1"/>
      <c r="B539" s="1"/>
      <c r="C539" s="1"/>
      <c r="D539" s="1"/>
      <c r="E539" s="1"/>
      <c r="F539" s="1"/>
      <c r="G539" s="18"/>
      <c r="H539" s="1"/>
      <c r="I539" s="1"/>
      <c r="J539" s="1"/>
      <c r="K539" s="1"/>
    </row>
    <row r="540" spans="1:11" ht="13.2" x14ac:dyDescent="0.25">
      <c r="A540" s="1"/>
      <c r="B540" s="1"/>
      <c r="C540" s="1"/>
      <c r="D540" s="1"/>
      <c r="E540" s="1"/>
      <c r="F540" s="1"/>
      <c r="G540" s="18"/>
      <c r="H540" s="1"/>
      <c r="I540" s="1"/>
      <c r="J540" s="1"/>
      <c r="K540" s="1"/>
    </row>
    <row r="541" spans="1:11" ht="13.2" x14ac:dyDescent="0.25">
      <c r="A541" s="1"/>
      <c r="B541" s="1"/>
      <c r="C541" s="1"/>
      <c r="D541" s="1"/>
      <c r="E541" s="1"/>
      <c r="F541" s="1"/>
      <c r="G541" s="18"/>
      <c r="H541" s="1"/>
      <c r="I541" s="1"/>
      <c r="J541" s="1"/>
      <c r="K541" s="1"/>
    </row>
    <row r="542" spans="1:11" ht="13.2" x14ac:dyDescent="0.25">
      <c r="A542" s="1"/>
      <c r="B542" s="1"/>
      <c r="C542" s="1"/>
      <c r="D542" s="1"/>
      <c r="E542" s="1"/>
      <c r="F542" s="1"/>
      <c r="G542" s="18"/>
      <c r="H542" s="1"/>
      <c r="I542" s="1"/>
      <c r="J542" s="1"/>
      <c r="K542" s="1"/>
    </row>
    <row r="543" spans="1:11" ht="13.2" x14ac:dyDescent="0.25">
      <c r="A543" s="1"/>
      <c r="B543" s="1"/>
      <c r="C543" s="1"/>
      <c r="D543" s="1"/>
      <c r="E543" s="1"/>
      <c r="F543" s="1"/>
      <c r="G543" s="18"/>
      <c r="H543" s="1"/>
      <c r="I543" s="1"/>
      <c r="J543" s="1"/>
      <c r="K543" s="1"/>
    </row>
    <row r="544" spans="1:11" ht="13.2" x14ac:dyDescent="0.25">
      <c r="A544" s="1"/>
      <c r="B544" s="1"/>
      <c r="C544" s="1"/>
      <c r="D544" s="1"/>
      <c r="E544" s="1"/>
      <c r="F544" s="1"/>
      <c r="G544" s="18"/>
      <c r="H544" s="1"/>
      <c r="I544" s="1"/>
      <c r="J544" s="1"/>
      <c r="K544" s="1"/>
    </row>
    <row r="545" spans="1:11" ht="13.2" x14ac:dyDescent="0.25">
      <c r="A545" s="1"/>
      <c r="B545" s="1"/>
      <c r="C545" s="1"/>
      <c r="D545" s="1"/>
      <c r="E545" s="1"/>
      <c r="F545" s="1"/>
      <c r="G545" s="18"/>
      <c r="H545" s="1"/>
      <c r="I545" s="1"/>
      <c r="J545" s="1"/>
      <c r="K545" s="1"/>
    </row>
    <row r="546" spans="1:11" ht="13.2" x14ac:dyDescent="0.25">
      <c r="A546" s="1"/>
      <c r="B546" s="1"/>
      <c r="C546" s="1"/>
      <c r="D546" s="1"/>
      <c r="E546" s="1"/>
      <c r="F546" s="1"/>
      <c r="G546" s="18"/>
      <c r="H546" s="1"/>
      <c r="I546" s="1"/>
      <c r="J546" s="1"/>
      <c r="K546" s="1"/>
    </row>
    <row r="547" spans="1:11" ht="13.2" x14ac:dyDescent="0.25">
      <c r="A547" s="1"/>
      <c r="B547" s="1"/>
      <c r="C547" s="1"/>
      <c r="D547" s="1"/>
      <c r="E547" s="1"/>
      <c r="F547" s="1"/>
      <c r="G547" s="18"/>
      <c r="H547" s="1"/>
      <c r="I547" s="1"/>
      <c r="J547" s="1"/>
      <c r="K547" s="1"/>
    </row>
    <row r="548" spans="1:11" ht="13.2" x14ac:dyDescent="0.25">
      <c r="A548" s="1"/>
      <c r="B548" s="1"/>
      <c r="C548" s="1"/>
      <c r="D548" s="1"/>
      <c r="E548" s="1"/>
      <c r="F548" s="1"/>
      <c r="G548" s="18"/>
      <c r="H548" s="1"/>
      <c r="I548" s="1"/>
      <c r="J548" s="1"/>
      <c r="K548" s="1"/>
    </row>
    <row r="549" spans="1:11" ht="13.2" x14ac:dyDescent="0.25">
      <c r="A549" s="1"/>
      <c r="B549" s="1"/>
      <c r="C549" s="1"/>
      <c r="D549" s="1"/>
      <c r="E549" s="1"/>
      <c r="F549" s="1"/>
      <c r="G549" s="18"/>
      <c r="H549" s="1"/>
      <c r="I549" s="1"/>
      <c r="J549" s="1"/>
      <c r="K549" s="1"/>
    </row>
    <row r="550" spans="1:11" ht="13.2" x14ac:dyDescent="0.25">
      <c r="A550" s="1"/>
      <c r="B550" s="1"/>
      <c r="C550" s="1"/>
      <c r="D550" s="1"/>
      <c r="E550" s="1"/>
      <c r="F550" s="1"/>
      <c r="G550" s="18"/>
      <c r="H550" s="1"/>
      <c r="I550" s="1"/>
      <c r="J550" s="1"/>
      <c r="K550" s="1"/>
    </row>
    <row r="551" spans="1:11" ht="13.2" x14ac:dyDescent="0.25">
      <c r="A551" s="1"/>
      <c r="B551" s="1"/>
      <c r="C551" s="1"/>
      <c r="D551" s="1"/>
      <c r="E551" s="1"/>
      <c r="F551" s="1"/>
      <c r="G551" s="18"/>
      <c r="H551" s="1"/>
      <c r="I551" s="1"/>
      <c r="J551" s="1"/>
      <c r="K551" s="1"/>
    </row>
    <row r="552" spans="1:11" ht="13.2" x14ac:dyDescent="0.25">
      <c r="A552" s="1"/>
      <c r="B552" s="1"/>
      <c r="C552" s="1"/>
      <c r="D552" s="1"/>
      <c r="E552" s="1"/>
      <c r="F552" s="1"/>
      <c r="G552" s="18"/>
      <c r="H552" s="1"/>
      <c r="I552" s="1"/>
      <c r="J552" s="1"/>
      <c r="K552" s="1"/>
    </row>
    <row r="553" spans="1:11" ht="13.2" x14ac:dyDescent="0.25">
      <c r="A553" s="1"/>
      <c r="B553" s="1"/>
      <c r="C553" s="1"/>
      <c r="D553" s="1"/>
      <c r="E553" s="1"/>
      <c r="F553" s="1"/>
      <c r="G553" s="18"/>
      <c r="H553" s="1"/>
      <c r="I553" s="1"/>
      <c r="J553" s="1"/>
      <c r="K553" s="1"/>
    </row>
    <row r="554" spans="1:11" ht="13.2" x14ac:dyDescent="0.25">
      <c r="A554" s="1"/>
      <c r="B554" s="1"/>
      <c r="C554" s="1"/>
      <c r="D554" s="1"/>
      <c r="E554" s="1"/>
      <c r="F554" s="1"/>
      <c r="G554" s="18"/>
      <c r="H554" s="1"/>
      <c r="I554" s="1"/>
      <c r="J554" s="1"/>
      <c r="K554" s="1"/>
    </row>
    <row r="555" spans="1:11" ht="13.2" x14ac:dyDescent="0.25">
      <c r="A555" s="1"/>
      <c r="B555" s="1"/>
      <c r="C555" s="1"/>
      <c r="D555" s="1"/>
      <c r="E555" s="1"/>
      <c r="F555" s="1"/>
      <c r="G555" s="18"/>
      <c r="H555" s="1"/>
      <c r="I555" s="1"/>
      <c r="J555" s="1"/>
      <c r="K555" s="1"/>
    </row>
    <row r="556" spans="1:11" ht="13.2" x14ac:dyDescent="0.25">
      <c r="A556" s="1"/>
      <c r="B556" s="1"/>
      <c r="C556" s="1"/>
      <c r="D556" s="1"/>
      <c r="E556" s="1"/>
      <c r="F556" s="1"/>
      <c r="G556" s="18"/>
      <c r="H556" s="1"/>
      <c r="I556" s="1"/>
      <c r="J556" s="1"/>
      <c r="K556" s="1"/>
    </row>
    <row r="557" spans="1:11" ht="13.2" x14ac:dyDescent="0.25">
      <c r="A557" s="1"/>
      <c r="B557" s="1"/>
      <c r="C557" s="1"/>
      <c r="D557" s="1"/>
      <c r="E557" s="1"/>
      <c r="F557" s="1"/>
      <c r="G557" s="18"/>
      <c r="H557" s="1"/>
      <c r="I557" s="1"/>
      <c r="J557" s="1"/>
      <c r="K557" s="1"/>
    </row>
    <row r="558" spans="1:11" ht="13.2" x14ac:dyDescent="0.25">
      <c r="A558" s="1"/>
      <c r="B558" s="1"/>
      <c r="C558" s="1"/>
      <c r="D558" s="1"/>
      <c r="E558" s="1"/>
      <c r="F558" s="1"/>
      <c r="G558" s="18"/>
      <c r="H558" s="1"/>
      <c r="I558" s="1"/>
      <c r="J558" s="1"/>
      <c r="K558" s="1"/>
    </row>
    <row r="559" spans="1:11" ht="13.2" x14ac:dyDescent="0.25">
      <c r="A559" s="1"/>
      <c r="B559" s="1"/>
      <c r="C559" s="1"/>
      <c r="D559" s="1"/>
      <c r="E559" s="1"/>
      <c r="F559" s="1"/>
      <c r="G559" s="18"/>
      <c r="H559" s="1"/>
      <c r="I559" s="1"/>
      <c r="J559" s="1"/>
      <c r="K559" s="1"/>
    </row>
    <row r="560" spans="1:11" ht="13.2" x14ac:dyDescent="0.25">
      <c r="A560" s="1"/>
      <c r="B560" s="1"/>
      <c r="C560" s="1"/>
      <c r="D560" s="1"/>
      <c r="E560" s="1"/>
      <c r="F560" s="1"/>
      <c r="G560" s="18"/>
      <c r="H560" s="1"/>
      <c r="I560" s="1"/>
      <c r="J560" s="1"/>
      <c r="K560" s="1"/>
    </row>
    <row r="561" spans="1:11" ht="13.2" x14ac:dyDescent="0.25">
      <c r="A561" s="1"/>
      <c r="B561" s="1"/>
      <c r="C561" s="1"/>
      <c r="D561" s="1"/>
      <c r="E561" s="1"/>
      <c r="F561" s="1"/>
      <c r="G561" s="18"/>
      <c r="H561" s="1"/>
      <c r="I561" s="1"/>
      <c r="J561" s="1"/>
      <c r="K561" s="1"/>
    </row>
    <row r="562" spans="1:11" ht="13.2" x14ac:dyDescent="0.25">
      <c r="A562" s="1"/>
      <c r="B562" s="1"/>
      <c r="C562" s="1"/>
      <c r="D562" s="1"/>
      <c r="E562" s="1"/>
      <c r="F562" s="1"/>
      <c r="G562" s="18"/>
      <c r="H562" s="1"/>
      <c r="I562" s="1"/>
      <c r="J562" s="1"/>
      <c r="K562" s="1"/>
    </row>
    <row r="563" spans="1:11" ht="13.2" x14ac:dyDescent="0.25">
      <c r="A563" s="1"/>
      <c r="B563" s="1"/>
      <c r="C563" s="1"/>
      <c r="D563" s="1"/>
      <c r="E563" s="1"/>
      <c r="F563" s="1"/>
      <c r="G563" s="18"/>
      <c r="H563" s="1"/>
      <c r="I563" s="1"/>
      <c r="J563" s="1"/>
      <c r="K563" s="1"/>
    </row>
    <row r="564" spans="1:11" ht="13.2" x14ac:dyDescent="0.25">
      <c r="A564" s="1"/>
      <c r="B564" s="1"/>
      <c r="C564" s="1"/>
      <c r="D564" s="1"/>
      <c r="E564" s="1"/>
      <c r="F564" s="1"/>
      <c r="G564" s="18"/>
      <c r="H564" s="1"/>
      <c r="I564" s="1"/>
      <c r="J564" s="1"/>
      <c r="K564" s="1"/>
    </row>
    <row r="565" spans="1:11" ht="13.2" x14ac:dyDescent="0.25">
      <c r="A565" s="1"/>
      <c r="B565" s="1"/>
      <c r="C565" s="1"/>
      <c r="D565" s="1"/>
      <c r="E565" s="1"/>
      <c r="F565" s="1"/>
      <c r="G565" s="18"/>
      <c r="H565" s="1"/>
      <c r="I565" s="1"/>
      <c r="J565" s="1"/>
      <c r="K565" s="1"/>
    </row>
    <row r="566" spans="1:11" ht="13.2" x14ac:dyDescent="0.25">
      <c r="A566" s="1"/>
      <c r="B566" s="1"/>
      <c r="C566" s="1"/>
      <c r="D566" s="1"/>
      <c r="E566" s="1"/>
      <c r="F566" s="1"/>
      <c r="G566" s="18"/>
      <c r="H566" s="1"/>
      <c r="I566" s="1"/>
      <c r="J566" s="1"/>
      <c r="K566" s="1"/>
    </row>
    <row r="567" spans="1:11" ht="13.2" x14ac:dyDescent="0.25">
      <c r="A567" s="1"/>
      <c r="B567" s="1"/>
      <c r="C567" s="1"/>
      <c r="D567" s="1"/>
      <c r="E567" s="1"/>
      <c r="F567" s="1"/>
      <c r="G567" s="18"/>
      <c r="H567" s="1"/>
      <c r="I567" s="1"/>
      <c r="J567" s="1"/>
      <c r="K567" s="1"/>
    </row>
    <row r="568" spans="1:11" ht="13.2" x14ac:dyDescent="0.25">
      <c r="A568" s="1"/>
      <c r="B568" s="1"/>
      <c r="C568" s="1"/>
      <c r="D568" s="1"/>
      <c r="E568" s="1"/>
      <c r="F568" s="1"/>
      <c r="G568" s="18"/>
      <c r="H568" s="1"/>
      <c r="I568" s="1"/>
      <c r="J568" s="1"/>
      <c r="K568" s="1"/>
    </row>
    <row r="569" spans="1:11" ht="13.2" x14ac:dyDescent="0.25">
      <c r="A569" s="1"/>
      <c r="B569" s="1"/>
      <c r="C569" s="1"/>
      <c r="D569" s="1"/>
      <c r="E569" s="1"/>
      <c r="F569" s="1"/>
      <c r="G569" s="18"/>
      <c r="H569" s="1"/>
      <c r="I569" s="1"/>
      <c r="J569" s="1"/>
      <c r="K569" s="1"/>
    </row>
    <row r="570" spans="1:11" ht="13.2" x14ac:dyDescent="0.25">
      <c r="A570" s="1"/>
      <c r="B570" s="1"/>
      <c r="C570" s="1"/>
      <c r="D570" s="1"/>
      <c r="E570" s="1"/>
      <c r="F570" s="1"/>
      <c r="G570" s="18"/>
      <c r="H570" s="1"/>
      <c r="I570" s="1"/>
      <c r="J570" s="1"/>
      <c r="K570" s="1"/>
    </row>
    <row r="571" spans="1:11" ht="13.2" x14ac:dyDescent="0.25">
      <c r="A571" s="1"/>
      <c r="B571" s="1"/>
      <c r="C571" s="1"/>
      <c r="D571" s="1"/>
      <c r="E571" s="1"/>
      <c r="F571" s="1"/>
      <c r="G571" s="18"/>
      <c r="H571" s="1"/>
      <c r="I571" s="1"/>
      <c r="J571" s="1"/>
      <c r="K571" s="1"/>
    </row>
    <row r="572" spans="1:11" ht="13.2" x14ac:dyDescent="0.25">
      <c r="A572" s="1"/>
      <c r="B572" s="1"/>
      <c r="C572" s="1"/>
      <c r="D572" s="1"/>
      <c r="E572" s="1"/>
      <c r="F572" s="1"/>
      <c r="G572" s="18"/>
      <c r="H572" s="1"/>
      <c r="I572" s="1"/>
      <c r="J572" s="1"/>
      <c r="K572" s="1"/>
    </row>
    <row r="573" spans="1:11" ht="13.2" x14ac:dyDescent="0.25">
      <c r="A573" s="1"/>
      <c r="B573" s="1"/>
      <c r="C573" s="1"/>
      <c r="D573" s="1"/>
      <c r="E573" s="1"/>
      <c r="F573" s="1"/>
      <c r="G573" s="18"/>
      <c r="H573" s="1"/>
      <c r="I573" s="1"/>
      <c r="J573" s="1"/>
      <c r="K573" s="1"/>
    </row>
    <row r="574" spans="1:11" ht="13.2" x14ac:dyDescent="0.25">
      <c r="A574" s="1"/>
      <c r="B574" s="1"/>
      <c r="C574" s="1"/>
      <c r="D574" s="1"/>
      <c r="E574" s="1"/>
      <c r="F574" s="1"/>
      <c r="G574" s="18"/>
      <c r="H574" s="1"/>
      <c r="I574" s="1"/>
      <c r="J574" s="1"/>
      <c r="K574" s="1"/>
    </row>
    <row r="575" spans="1:11" ht="13.2" x14ac:dyDescent="0.25">
      <c r="A575" s="1"/>
      <c r="B575" s="1"/>
      <c r="C575" s="1"/>
      <c r="D575" s="1"/>
      <c r="E575" s="1"/>
      <c r="F575" s="1"/>
      <c r="G575" s="18"/>
      <c r="H575" s="1"/>
      <c r="I575" s="1"/>
      <c r="J575" s="1"/>
      <c r="K575" s="1"/>
    </row>
    <row r="576" spans="1:11" ht="13.2" x14ac:dyDescent="0.25">
      <c r="A576" s="1"/>
      <c r="B576" s="1"/>
      <c r="C576" s="1"/>
      <c r="D576" s="1"/>
      <c r="E576" s="1"/>
      <c r="F576" s="1"/>
      <c r="G576" s="18"/>
      <c r="H576" s="1"/>
      <c r="I576" s="1"/>
      <c r="J576" s="1"/>
      <c r="K576" s="1"/>
    </row>
    <row r="577" spans="1:11" ht="13.2" x14ac:dyDescent="0.25">
      <c r="A577" s="1"/>
      <c r="B577" s="1"/>
      <c r="C577" s="1"/>
      <c r="D577" s="1"/>
      <c r="E577" s="1"/>
      <c r="F577" s="1"/>
      <c r="G577" s="18"/>
      <c r="H577" s="1"/>
      <c r="I577" s="1"/>
      <c r="J577" s="1"/>
      <c r="K577" s="1"/>
    </row>
    <row r="578" spans="1:11" ht="13.2" x14ac:dyDescent="0.25">
      <c r="A578" s="1"/>
      <c r="B578" s="1"/>
      <c r="C578" s="1"/>
      <c r="D578" s="1"/>
      <c r="E578" s="1"/>
      <c r="F578" s="1"/>
      <c r="G578" s="18"/>
      <c r="H578" s="1"/>
      <c r="I578" s="1"/>
      <c r="J578" s="1"/>
      <c r="K578" s="1"/>
    </row>
    <row r="579" spans="1:11" ht="13.2" x14ac:dyDescent="0.25">
      <c r="A579" s="1"/>
      <c r="B579" s="1"/>
      <c r="C579" s="1"/>
      <c r="D579" s="1"/>
      <c r="E579" s="1"/>
      <c r="F579" s="1"/>
      <c r="G579" s="18"/>
      <c r="H579" s="1"/>
      <c r="I579" s="1"/>
      <c r="J579" s="1"/>
      <c r="K579" s="1"/>
    </row>
    <row r="580" spans="1:11" ht="13.2" x14ac:dyDescent="0.25">
      <c r="A580" s="1"/>
      <c r="B580" s="1"/>
      <c r="C580" s="1"/>
      <c r="D580" s="1"/>
      <c r="E580" s="1"/>
      <c r="F580" s="1"/>
      <c r="G580" s="18"/>
      <c r="H580" s="1"/>
      <c r="I580" s="1"/>
      <c r="J580" s="1"/>
      <c r="K580" s="1"/>
    </row>
    <row r="581" spans="1:11" ht="13.2" x14ac:dyDescent="0.25">
      <c r="A581" s="1"/>
      <c r="B581" s="1"/>
      <c r="C581" s="1"/>
      <c r="D581" s="1"/>
      <c r="E581" s="1"/>
      <c r="F581" s="1"/>
      <c r="G581" s="18"/>
      <c r="H581" s="1"/>
      <c r="I581" s="1"/>
      <c r="J581" s="1"/>
      <c r="K581" s="1"/>
    </row>
    <row r="582" spans="1:11" ht="13.2" x14ac:dyDescent="0.25">
      <c r="A582" s="1"/>
      <c r="B582" s="1"/>
      <c r="C582" s="1"/>
      <c r="D582" s="1"/>
      <c r="E582" s="1"/>
      <c r="F582" s="1"/>
      <c r="G582" s="18"/>
      <c r="H582" s="1"/>
      <c r="I582" s="1"/>
      <c r="J582" s="1"/>
      <c r="K582" s="1"/>
    </row>
    <row r="583" spans="1:11" ht="13.2" x14ac:dyDescent="0.25">
      <c r="A583" s="1"/>
      <c r="B583" s="1"/>
      <c r="C583" s="1"/>
      <c r="D583" s="1"/>
      <c r="E583" s="1"/>
      <c r="F583" s="1"/>
      <c r="G583" s="18"/>
      <c r="H583" s="1"/>
      <c r="I583" s="1"/>
      <c r="J583" s="1"/>
      <c r="K583" s="1"/>
    </row>
    <row r="584" spans="1:11" ht="13.2" x14ac:dyDescent="0.25">
      <c r="A584" s="1"/>
      <c r="B584" s="1"/>
      <c r="C584" s="1"/>
      <c r="D584" s="1"/>
      <c r="E584" s="1"/>
      <c r="F584" s="1"/>
      <c r="G584" s="18"/>
      <c r="H584" s="1"/>
      <c r="I584" s="1"/>
      <c r="J584" s="1"/>
      <c r="K584" s="1"/>
    </row>
    <row r="585" spans="1:11" ht="13.2" x14ac:dyDescent="0.25">
      <c r="A585" s="1"/>
      <c r="B585" s="1"/>
      <c r="C585" s="1"/>
      <c r="D585" s="1"/>
      <c r="E585" s="1"/>
      <c r="F585" s="1"/>
      <c r="G585" s="18"/>
      <c r="H585" s="1"/>
      <c r="I585" s="1"/>
      <c r="J585" s="1"/>
      <c r="K585" s="1"/>
    </row>
    <row r="586" spans="1:11" ht="13.2" x14ac:dyDescent="0.25">
      <c r="A586" s="1"/>
      <c r="B586" s="1"/>
      <c r="C586" s="1"/>
      <c r="D586" s="1"/>
      <c r="E586" s="1"/>
      <c r="F586" s="1"/>
      <c r="G586" s="18"/>
      <c r="H586" s="1"/>
      <c r="I586" s="1"/>
      <c r="J586" s="1"/>
      <c r="K586" s="1"/>
    </row>
    <row r="587" spans="1:11" ht="13.2" x14ac:dyDescent="0.25">
      <c r="A587" s="1"/>
      <c r="B587" s="1"/>
      <c r="C587" s="1"/>
      <c r="D587" s="1"/>
      <c r="E587" s="1"/>
      <c r="F587" s="1"/>
      <c r="G587" s="18"/>
      <c r="H587" s="1"/>
      <c r="I587" s="1"/>
      <c r="J587" s="1"/>
      <c r="K587" s="1"/>
    </row>
    <row r="588" spans="1:11" ht="13.2" x14ac:dyDescent="0.25">
      <c r="A588" s="1"/>
      <c r="B588" s="1"/>
      <c r="C588" s="1"/>
      <c r="D588" s="1"/>
      <c r="E588" s="1"/>
      <c r="F588" s="1"/>
      <c r="G588" s="18"/>
      <c r="H588" s="1"/>
      <c r="I588" s="1"/>
      <c r="J588" s="1"/>
      <c r="K588" s="1"/>
    </row>
    <row r="589" spans="1:11" ht="13.2" x14ac:dyDescent="0.25">
      <c r="A589" s="1"/>
      <c r="B589" s="1"/>
      <c r="C589" s="1"/>
      <c r="D589" s="1"/>
      <c r="E589" s="1"/>
      <c r="F589" s="1"/>
      <c r="G589" s="18"/>
      <c r="H589" s="1"/>
      <c r="I589" s="1"/>
      <c r="J589" s="1"/>
      <c r="K589" s="1"/>
    </row>
    <row r="590" spans="1:11" ht="13.2" x14ac:dyDescent="0.25">
      <c r="A590" s="1"/>
      <c r="B590" s="1"/>
      <c r="C590" s="1"/>
      <c r="D590" s="1"/>
      <c r="E590" s="1"/>
      <c r="F590" s="1"/>
      <c r="G590" s="18"/>
      <c r="H590" s="1"/>
      <c r="I590" s="1"/>
      <c r="J590" s="1"/>
      <c r="K590" s="1"/>
    </row>
    <row r="591" spans="1:11" ht="13.2" x14ac:dyDescent="0.25">
      <c r="A591" s="1"/>
      <c r="B591" s="1"/>
      <c r="C591" s="1"/>
      <c r="D591" s="1"/>
      <c r="E591" s="1"/>
      <c r="F591" s="1"/>
      <c r="G591" s="18"/>
      <c r="H591" s="1"/>
      <c r="I591" s="1"/>
      <c r="J591" s="1"/>
      <c r="K591" s="1"/>
    </row>
    <row r="592" spans="1:11" ht="13.2" x14ac:dyDescent="0.25">
      <c r="A592" s="1"/>
      <c r="B592" s="1"/>
      <c r="C592" s="1"/>
      <c r="D592" s="1"/>
      <c r="E592" s="1"/>
      <c r="F592" s="1"/>
      <c r="G592" s="18"/>
      <c r="H592" s="1"/>
      <c r="I592" s="1"/>
      <c r="J592" s="1"/>
      <c r="K592" s="1"/>
    </row>
    <row r="593" spans="1:11" ht="13.2" x14ac:dyDescent="0.25">
      <c r="A593" s="1"/>
      <c r="B593" s="1"/>
      <c r="C593" s="1"/>
      <c r="D593" s="1"/>
      <c r="E593" s="1"/>
      <c r="F593" s="1"/>
      <c r="G593" s="18"/>
      <c r="H593" s="1"/>
      <c r="I593" s="1"/>
      <c r="J593" s="1"/>
      <c r="K593" s="1"/>
    </row>
    <row r="594" spans="1:11" ht="13.2" x14ac:dyDescent="0.25">
      <c r="A594" s="1"/>
      <c r="B594" s="1"/>
      <c r="C594" s="1"/>
      <c r="D594" s="1"/>
      <c r="E594" s="1"/>
      <c r="F594" s="1"/>
      <c r="G594" s="18"/>
      <c r="H594" s="1"/>
      <c r="I594" s="1"/>
      <c r="J594" s="1"/>
      <c r="K594" s="1"/>
    </row>
    <row r="595" spans="1:11" ht="13.2" x14ac:dyDescent="0.25">
      <c r="A595" s="1"/>
      <c r="B595" s="1"/>
      <c r="C595" s="1"/>
      <c r="D595" s="1"/>
      <c r="E595" s="1"/>
      <c r="F595" s="1"/>
      <c r="G595" s="18"/>
      <c r="H595" s="1"/>
      <c r="I595" s="1"/>
      <c r="J595" s="1"/>
      <c r="K595" s="1"/>
    </row>
    <row r="596" spans="1:11" ht="13.2" x14ac:dyDescent="0.25">
      <c r="A596" s="1"/>
      <c r="B596" s="1"/>
      <c r="C596" s="1"/>
      <c r="D596" s="1"/>
      <c r="E596" s="1"/>
      <c r="F596" s="1"/>
      <c r="G596" s="18"/>
      <c r="H596" s="1"/>
      <c r="I596" s="1"/>
      <c r="J596" s="1"/>
      <c r="K596" s="1"/>
    </row>
    <row r="597" spans="1:11" ht="13.2" x14ac:dyDescent="0.25">
      <c r="A597" s="1"/>
      <c r="B597" s="1"/>
      <c r="C597" s="1"/>
      <c r="D597" s="1"/>
      <c r="E597" s="1"/>
      <c r="F597" s="1"/>
      <c r="G597" s="18"/>
      <c r="H597" s="1"/>
      <c r="I597" s="1"/>
      <c r="J597" s="1"/>
      <c r="K597" s="1"/>
    </row>
    <row r="598" spans="1:11" ht="13.2" x14ac:dyDescent="0.25">
      <c r="A598" s="1"/>
      <c r="B598" s="1"/>
      <c r="C598" s="1"/>
      <c r="D598" s="1"/>
      <c r="E598" s="1"/>
      <c r="F598" s="1"/>
      <c r="G598" s="18"/>
      <c r="H598" s="1"/>
      <c r="I598" s="1"/>
      <c r="J598" s="1"/>
      <c r="K598" s="1"/>
    </row>
    <row r="599" spans="1:11" ht="13.2" x14ac:dyDescent="0.25">
      <c r="A599" s="1"/>
      <c r="B599" s="1"/>
      <c r="C599" s="1"/>
      <c r="D599" s="1"/>
      <c r="E599" s="1"/>
      <c r="F599" s="1"/>
      <c r="G599" s="18"/>
      <c r="H599" s="1"/>
      <c r="I599" s="1"/>
      <c r="J599" s="1"/>
      <c r="K599" s="1"/>
    </row>
    <row r="600" spans="1:11" ht="13.2" x14ac:dyDescent="0.25">
      <c r="A600" s="1"/>
      <c r="B600" s="1"/>
      <c r="C600" s="1"/>
      <c r="D600" s="1"/>
      <c r="E600" s="1"/>
      <c r="F600" s="1"/>
      <c r="G600" s="18"/>
      <c r="H600" s="1"/>
      <c r="I600" s="1"/>
      <c r="J600" s="1"/>
      <c r="K600" s="1"/>
    </row>
    <row r="601" spans="1:11" ht="13.2" x14ac:dyDescent="0.25">
      <c r="A601" s="1"/>
      <c r="B601" s="1"/>
      <c r="C601" s="1"/>
      <c r="D601" s="1"/>
      <c r="E601" s="1"/>
      <c r="F601" s="1"/>
      <c r="G601" s="18"/>
      <c r="H601" s="1"/>
      <c r="I601" s="1"/>
      <c r="J601" s="1"/>
      <c r="K601" s="1"/>
    </row>
    <row r="602" spans="1:11" ht="13.2" x14ac:dyDescent="0.25">
      <c r="A602" s="1"/>
      <c r="B602" s="1"/>
      <c r="C602" s="1"/>
      <c r="D602" s="1"/>
      <c r="E602" s="1"/>
      <c r="F602" s="1"/>
      <c r="G602" s="18"/>
      <c r="H602" s="1"/>
      <c r="I602" s="1"/>
      <c r="J602" s="1"/>
      <c r="K602" s="1"/>
    </row>
    <row r="603" spans="1:11" ht="13.2" x14ac:dyDescent="0.25">
      <c r="A603" s="1"/>
      <c r="B603" s="1"/>
      <c r="C603" s="1"/>
      <c r="D603" s="1"/>
      <c r="E603" s="1"/>
      <c r="F603" s="1"/>
      <c r="G603" s="18"/>
      <c r="H603" s="1"/>
      <c r="I603" s="1"/>
      <c r="J603" s="1"/>
      <c r="K603" s="1"/>
    </row>
    <row r="604" spans="1:11" ht="13.2" x14ac:dyDescent="0.25">
      <c r="A604" s="1"/>
      <c r="B604" s="1"/>
      <c r="C604" s="1"/>
      <c r="D604" s="1"/>
      <c r="E604" s="1"/>
      <c r="F604" s="1"/>
      <c r="G604" s="18"/>
      <c r="H604" s="1"/>
      <c r="I604" s="1"/>
      <c r="J604" s="1"/>
      <c r="K604" s="1"/>
    </row>
    <row r="605" spans="1:11" ht="13.2" x14ac:dyDescent="0.25">
      <c r="A605" s="1"/>
      <c r="B605" s="1"/>
      <c r="C605" s="1"/>
      <c r="D605" s="1"/>
      <c r="E605" s="1"/>
      <c r="F605" s="1"/>
      <c r="G605" s="18"/>
      <c r="H605" s="1"/>
      <c r="I605" s="1"/>
      <c r="J605" s="1"/>
      <c r="K605" s="1"/>
    </row>
    <row r="606" spans="1:11" ht="13.2" x14ac:dyDescent="0.25">
      <c r="A606" s="1"/>
      <c r="B606" s="1"/>
      <c r="C606" s="1"/>
      <c r="D606" s="1"/>
      <c r="E606" s="1"/>
      <c r="F606" s="1"/>
      <c r="G606" s="18"/>
      <c r="H606" s="1"/>
      <c r="I606" s="1"/>
      <c r="J606" s="1"/>
      <c r="K606" s="1"/>
    </row>
    <row r="607" spans="1:11" ht="13.2" x14ac:dyDescent="0.25">
      <c r="A607" s="1"/>
      <c r="B607" s="1"/>
      <c r="C607" s="1"/>
      <c r="D607" s="1"/>
      <c r="E607" s="1"/>
      <c r="F607" s="1"/>
      <c r="G607" s="18"/>
      <c r="H607" s="1"/>
      <c r="I607" s="1"/>
      <c r="J607" s="1"/>
      <c r="K607" s="1"/>
    </row>
    <row r="608" spans="1:11" ht="13.2" x14ac:dyDescent="0.25">
      <c r="A608" s="1"/>
      <c r="B608" s="1"/>
      <c r="C608" s="1"/>
      <c r="D608" s="1"/>
      <c r="E608" s="1"/>
      <c r="F608" s="1"/>
      <c r="G608" s="18"/>
      <c r="H608" s="1"/>
      <c r="I608" s="1"/>
      <c r="J608" s="1"/>
      <c r="K608" s="1"/>
    </row>
    <row r="609" spans="1:11" ht="13.2" x14ac:dyDescent="0.25">
      <c r="A609" s="1"/>
      <c r="B609" s="1"/>
      <c r="C609" s="1"/>
      <c r="D609" s="1"/>
      <c r="E609" s="1"/>
      <c r="F609" s="1"/>
      <c r="G609" s="18"/>
      <c r="H609" s="1"/>
      <c r="I609" s="1"/>
      <c r="J609" s="1"/>
      <c r="K609" s="1"/>
    </row>
    <row r="610" spans="1:11" ht="13.2" x14ac:dyDescent="0.25">
      <c r="A610" s="1"/>
      <c r="B610" s="1"/>
      <c r="C610" s="1"/>
      <c r="D610" s="1"/>
      <c r="E610" s="1"/>
      <c r="F610" s="1"/>
      <c r="G610" s="18"/>
      <c r="H610" s="1"/>
      <c r="I610" s="1"/>
      <c r="J610" s="1"/>
      <c r="K610" s="1"/>
    </row>
    <row r="611" spans="1:11" ht="13.2" x14ac:dyDescent="0.25">
      <c r="A611" s="1"/>
      <c r="B611" s="1"/>
      <c r="C611" s="1"/>
      <c r="D611" s="1"/>
      <c r="E611" s="1"/>
      <c r="F611" s="1"/>
      <c r="G611" s="18"/>
      <c r="H611" s="1"/>
      <c r="I611" s="1"/>
      <c r="J611" s="1"/>
      <c r="K611" s="1"/>
    </row>
    <row r="612" spans="1:11" ht="13.2" x14ac:dyDescent="0.25">
      <c r="A612" s="1"/>
      <c r="B612" s="1"/>
      <c r="C612" s="1"/>
      <c r="D612" s="1"/>
      <c r="E612" s="1"/>
      <c r="F612" s="1"/>
      <c r="G612" s="18"/>
      <c r="H612" s="1"/>
      <c r="I612" s="1"/>
      <c r="J612" s="1"/>
      <c r="K612" s="1"/>
    </row>
    <row r="613" spans="1:11" ht="13.2" x14ac:dyDescent="0.25">
      <c r="A613" s="1"/>
      <c r="B613" s="1"/>
      <c r="C613" s="1"/>
      <c r="D613" s="1"/>
      <c r="E613" s="1"/>
      <c r="F613" s="1"/>
      <c r="G613" s="18"/>
      <c r="H613" s="1"/>
      <c r="I613" s="1"/>
      <c r="J613" s="1"/>
      <c r="K613" s="1"/>
    </row>
    <row r="614" spans="1:11" ht="13.2" x14ac:dyDescent="0.25">
      <c r="A614" s="1"/>
      <c r="B614" s="1"/>
      <c r="C614" s="1"/>
      <c r="D614" s="1"/>
      <c r="E614" s="1"/>
      <c r="F614" s="1"/>
      <c r="G614" s="18"/>
      <c r="H614" s="1"/>
      <c r="I614" s="1"/>
      <c r="J614" s="1"/>
      <c r="K614" s="1"/>
    </row>
    <row r="615" spans="1:11" ht="13.2" x14ac:dyDescent="0.25">
      <c r="A615" s="1"/>
      <c r="B615" s="1"/>
      <c r="C615" s="1"/>
      <c r="D615" s="1"/>
      <c r="E615" s="1"/>
      <c r="F615" s="1"/>
      <c r="G615" s="18"/>
      <c r="H615" s="1"/>
      <c r="I615" s="1"/>
      <c r="J615" s="1"/>
      <c r="K615" s="1"/>
    </row>
    <row r="616" spans="1:11" ht="13.2" x14ac:dyDescent="0.25">
      <c r="A616" s="1"/>
      <c r="B616" s="1"/>
      <c r="C616" s="1"/>
      <c r="D616" s="1"/>
      <c r="E616" s="1"/>
      <c r="F616" s="1"/>
      <c r="G616" s="18"/>
      <c r="H616" s="1"/>
      <c r="I616" s="1"/>
      <c r="J616" s="1"/>
      <c r="K616" s="1"/>
    </row>
    <row r="617" spans="1:11" ht="13.2" x14ac:dyDescent="0.25">
      <c r="A617" s="1"/>
      <c r="B617" s="1"/>
      <c r="C617" s="1"/>
      <c r="D617" s="1"/>
      <c r="E617" s="1"/>
      <c r="F617" s="1"/>
      <c r="G617" s="18"/>
      <c r="H617" s="1"/>
      <c r="I617" s="1"/>
      <c r="J617" s="1"/>
      <c r="K617" s="1"/>
    </row>
    <row r="618" spans="1:11" ht="13.2" x14ac:dyDescent="0.25">
      <c r="A618" s="1"/>
      <c r="B618" s="1"/>
      <c r="C618" s="1"/>
      <c r="D618" s="1"/>
      <c r="E618" s="1"/>
      <c r="F618" s="1"/>
      <c r="G618" s="18"/>
      <c r="H618" s="1"/>
      <c r="I618" s="1"/>
      <c r="J618" s="1"/>
      <c r="K618" s="1"/>
    </row>
    <row r="619" spans="1:11" ht="13.2" x14ac:dyDescent="0.25">
      <c r="A619" s="1"/>
      <c r="B619" s="1"/>
      <c r="C619" s="1"/>
      <c r="D619" s="1"/>
      <c r="E619" s="1"/>
      <c r="F619" s="1"/>
      <c r="G619" s="18"/>
      <c r="H619" s="1"/>
      <c r="I619" s="1"/>
      <c r="J619" s="1"/>
      <c r="K619" s="1"/>
    </row>
    <row r="620" spans="1:11" ht="13.2" x14ac:dyDescent="0.25">
      <c r="A620" s="1"/>
      <c r="B620" s="1"/>
      <c r="C620" s="1"/>
      <c r="D620" s="1"/>
      <c r="E620" s="1"/>
      <c r="F620" s="1"/>
      <c r="G620" s="18"/>
      <c r="H620" s="1"/>
      <c r="I620" s="1"/>
      <c r="J620" s="1"/>
      <c r="K620" s="1"/>
    </row>
    <row r="621" spans="1:11" ht="13.2" x14ac:dyDescent="0.25">
      <c r="A621" s="1"/>
      <c r="B621" s="1"/>
      <c r="C621" s="1"/>
      <c r="D621" s="1"/>
      <c r="E621" s="1"/>
      <c r="F621" s="1"/>
      <c r="G621" s="18"/>
      <c r="H621" s="1"/>
      <c r="I621" s="1"/>
      <c r="J621" s="1"/>
      <c r="K621" s="1"/>
    </row>
    <row r="622" spans="1:11" ht="13.2" x14ac:dyDescent="0.25">
      <c r="A622" s="1"/>
      <c r="B622" s="1"/>
      <c r="C622" s="1"/>
      <c r="D622" s="1"/>
      <c r="E622" s="1"/>
      <c r="F622" s="1"/>
      <c r="G622" s="18"/>
      <c r="H622" s="1"/>
      <c r="I622" s="1"/>
      <c r="J622" s="1"/>
      <c r="K622" s="1"/>
    </row>
    <row r="623" spans="1:11" ht="13.2" x14ac:dyDescent="0.25">
      <c r="A623" s="1"/>
      <c r="B623" s="1"/>
      <c r="C623" s="1"/>
      <c r="D623" s="1"/>
      <c r="E623" s="1"/>
      <c r="F623" s="1"/>
      <c r="G623" s="18"/>
      <c r="H623" s="1"/>
      <c r="I623" s="1"/>
      <c r="J623" s="1"/>
      <c r="K623" s="1"/>
    </row>
    <row r="624" spans="1:11" ht="13.2" x14ac:dyDescent="0.25">
      <c r="A624" s="1"/>
      <c r="B624" s="1"/>
      <c r="C624" s="1"/>
      <c r="D624" s="1"/>
      <c r="E624" s="1"/>
      <c r="F624" s="1"/>
      <c r="G624" s="18"/>
      <c r="H624" s="1"/>
      <c r="I624" s="1"/>
      <c r="J624" s="1"/>
      <c r="K624" s="1"/>
    </row>
    <row r="625" spans="1:11" ht="13.2" x14ac:dyDescent="0.25">
      <c r="A625" s="1"/>
      <c r="B625" s="1"/>
      <c r="C625" s="1"/>
      <c r="D625" s="1"/>
      <c r="E625" s="1"/>
      <c r="F625" s="1"/>
      <c r="G625" s="18"/>
      <c r="H625" s="1"/>
      <c r="I625" s="1"/>
      <c r="J625" s="1"/>
      <c r="K625" s="1"/>
    </row>
    <row r="626" spans="1:11" ht="13.2" x14ac:dyDescent="0.25">
      <c r="A626" s="1"/>
      <c r="B626" s="1"/>
      <c r="C626" s="1"/>
      <c r="D626" s="1"/>
      <c r="E626" s="1"/>
      <c r="F626" s="1"/>
      <c r="G626" s="18"/>
      <c r="H626" s="1"/>
      <c r="I626" s="1"/>
      <c r="J626" s="1"/>
      <c r="K626" s="1"/>
    </row>
    <row r="627" spans="1:11" ht="13.2" x14ac:dyDescent="0.25">
      <c r="A627" s="1"/>
      <c r="B627" s="1"/>
      <c r="C627" s="1"/>
      <c r="D627" s="1"/>
      <c r="E627" s="1"/>
      <c r="F627" s="1"/>
      <c r="G627" s="18"/>
      <c r="H627" s="1"/>
      <c r="I627" s="1"/>
      <c r="J627" s="1"/>
      <c r="K627" s="1"/>
    </row>
    <row r="628" spans="1:11" ht="13.2" x14ac:dyDescent="0.25">
      <c r="A628" s="1"/>
      <c r="B628" s="1"/>
      <c r="C628" s="1"/>
      <c r="D628" s="1"/>
      <c r="E628" s="1"/>
      <c r="F628" s="1"/>
      <c r="G628" s="18"/>
      <c r="H628" s="1"/>
      <c r="I628" s="1"/>
      <c r="J628" s="1"/>
      <c r="K628" s="1"/>
    </row>
    <row r="629" spans="1:11" ht="13.2" x14ac:dyDescent="0.25">
      <c r="A629" s="1"/>
      <c r="B629" s="1"/>
      <c r="C629" s="1"/>
      <c r="D629" s="1"/>
      <c r="E629" s="1"/>
      <c r="F629" s="1"/>
      <c r="G629" s="18"/>
      <c r="H629" s="1"/>
      <c r="I629" s="1"/>
      <c r="J629" s="1"/>
      <c r="K629" s="1"/>
    </row>
    <row r="630" spans="1:11" ht="13.2" x14ac:dyDescent="0.25">
      <c r="A630" s="1"/>
      <c r="B630" s="1"/>
      <c r="C630" s="1"/>
      <c r="D630" s="1"/>
      <c r="E630" s="1"/>
      <c r="F630" s="1"/>
      <c r="G630" s="18"/>
      <c r="H630" s="1"/>
      <c r="I630" s="1"/>
      <c r="J630" s="1"/>
      <c r="K630" s="1"/>
    </row>
    <row r="631" spans="1:11" ht="13.2" x14ac:dyDescent="0.25">
      <c r="A631" s="1"/>
      <c r="B631" s="1"/>
      <c r="C631" s="1"/>
      <c r="D631" s="1"/>
      <c r="E631" s="1"/>
      <c r="F631" s="1"/>
      <c r="G631" s="18"/>
      <c r="H631" s="1"/>
      <c r="I631" s="1"/>
      <c r="J631" s="1"/>
      <c r="K631" s="1"/>
    </row>
    <row r="632" spans="1:11" ht="13.2" x14ac:dyDescent="0.25">
      <c r="A632" s="1"/>
      <c r="B632" s="1"/>
      <c r="C632" s="1"/>
      <c r="D632" s="1"/>
      <c r="E632" s="1"/>
      <c r="F632" s="1"/>
      <c r="G632" s="18"/>
      <c r="H632" s="1"/>
      <c r="I632" s="1"/>
      <c r="J632" s="1"/>
      <c r="K632" s="1"/>
    </row>
    <row r="633" spans="1:11" ht="13.2" x14ac:dyDescent="0.25">
      <c r="A633" s="1"/>
      <c r="B633" s="1"/>
      <c r="C633" s="1"/>
      <c r="D633" s="1"/>
      <c r="E633" s="1"/>
      <c r="F633" s="1"/>
      <c r="G633" s="18"/>
      <c r="H633" s="1"/>
      <c r="I633" s="1"/>
      <c r="J633" s="1"/>
      <c r="K633" s="1"/>
    </row>
    <row r="634" spans="1:11" ht="13.2" x14ac:dyDescent="0.25">
      <c r="A634" s="1"/>
      <c r="B634" s="1"/>
      <c r="C634" s="1"/>
      <c r="D634" s="1"/>
      <c r="E634" s="1"/>
      <c r="F634" s="1"/>
      <c r="G634" s="18"/>
      <c r="H634" s="1"/>
      <c r="I634" s="1"/>
      <c r="J634" s="1"/>
      <c r="K634" s="1"/>
    </row>
    <row r="635" spans="1:11" ht="13.2" x14ac:dyDescent="0.25">
      <c r="A635" s="1"/>
      <c r="B635" s="1"/>
      <c r="C635" s="1"/>
      <c r="D635" s="1"/>
      <c r="E635" s="1"/>
      <c r="F635" s="1"/>
      <c r="G635" s="18"/>
      <c r="H635" s="1"/>
      <c r="I635" s="1"/>
      <c r="J635" s="1"/>
      <c r="K635" s="1"/>
    </row>
    <row r="636" spans="1:11" ht="13.2" x14ac:dyDescent="0.25">
      <c r="A636" s="1"/>
      <c r="B636" s="1"/>
      <c r="C636" s="1"/>
      <c r="D636" s="1"/>
      <c r="E636" s="1"/>
      <c r="F636" s="1"/>
      <c r="G636" s="18"/>
      <c r="H636" s="1"/>
      <c r="I636" s="1"/>
      <c r="J636" s="1"/>
      <c r="K636" s="1"/>
    </row>
    <row r="637" spans="1:11" ht="13.2" x14ac:dyDescent="0.25">
      <c r="A637" s="1"/>
      <c r="B637" s="1"/>
      <c r="C637" s="1"/>
      <c r="D637" s="1"/>
      <c r="E637" s="1"/>
      <c r="F637" s="1"/>
      <c r="G637" s="18"/>
      <c r="H637" s="1"/>
      <c r="I637" s="1"/>
      <c r="J637" s="1"/>
      <c r="K637" s="1"/>
    </row>
    <row r="638" spans="1:11" ht="13.2" x14ac:dyDescent="0.25">
      <c r="A638" s="1"/>
      <c r="B638" s="1"/>
      <c r="C638" s="1"/>
      <c r="D638" s="1"/>
      <c r="E638" s="1"/>
      <c r="F638" s="1"/>
      <c r="G638" s="18"/>
      <c r="H638" s="1"/>
      <c r="I638" s="1"/>
      <c r="J638" s="1"/>
      <c r="K638" s="1"/>
    </row>
    <row r="639" spans="1:11" ht="13.2" x14ac:dyDescent="0.25">
      <c r="A639" s="1"/>
      <c r="B639" s="1"/>
      <c r="C639" s="1"/>
      <c r="D639" s="1"/>
      <c r="E639" s="1"/>
      <c r="F639" s="1"/>
      <c r="G639" s="18"/>
      <c r="H639" s="1"/>
      <c r="I639" s="1"/>
      <c r="J639" s="1"/>
      <c r="K639" s="1"/>
    </row>
    <row r="640" spans="1:11" ht="13.2" x14ac:dyDescent="0.25">
      <c r="A640" s="1"/>
      <c r="B640" s="1"/>
      <c r="C640" s="1"/>
      <c r="D640" s="1"/>
      <c r="E640" s="1"/>
      <c r="F640" s="1"/>
      <c r="G640" s="18"/>
      <c r="H640" s="1"/>
      <c r="I640" s="1"/>
      <c r="J640" s="1"/>
      <c r="K640" s="1"/>
    </row>
    <row r="641" spans="1:11" ht="13.2" x14ac:dyDescent="0.25">
      <c r="A641" s="1"/>
      <c r="B641" s="1"/>
      <c r="C641" s="1"/>
      <c r="D641" s="1"/>
      <c r="E641" s="1"/>
      <c r="F641" s="1"/>
      <c r="G641" s="18"/>
      <c r="H641" s="1"/>
      <c r="I641" s="1"/>
      <c r="J641" s="1"/>
      <c r="K641" s="1"/>
    </row>
    <row r="642" spans="1:11" ht="13.2" x14ac:dyDescent="0.25">
      <c r="A642" s="1"/>
      <c r="B642" s="1"/>
      <c r="C642" s="1"/>
      <c r="D642" s="1"/>
      <c r="E642" s="1"/>
      <c r="F642" s="1"/>
      <c r="G642" s="18"/>
      <c r="H642" s="1"/>
      <c r="I642" s="1"/>
      <c r="J642" s="1"/>
      <c r="K642" s="1"/>
    </row>
    <row r="643" spans="1:11" ht="13.2" x14ac:dyDescent="0.25">
      <c r="A643" s="1"/>
      <c r="B643" s="1"/>
      <c r="C643" s="1"/>
      <c r="D643" s="1"/>
      <c r="E643" s="1"/>
      <c r="F643" s="1"/>
      <c r="G643" s="18"/>
      <c r="H643" s="1"/>
      <c r="I643" s="1"/>
      <c r="J643" s="1"/>
      <c r="K643" s="1"/>
    </row>
    <row r="644" spans="1:11" ht="13.2" x14ac:dyDescent="0.25">
      <c r="A644" s="1"/>
      <c r="B644" s="1"/>
      <c r="C644" s="1"/>
      <c r="D644" s="1"/>
      <c r="E644" s="1"/>
      <c r="F644" s="1"/>
      <c r="G644" s="18"/>
      <c r="H644" s="1"/>
      <c r="I644" s="1"/>
      <c r="J644" s="1"/>
      <c r="K644" s="1"/>
    </row>
    <row r="645" spans="1:11" ht="13.2" x14ac:dyDescent="0.25">
      <c r="A645" s="1"/>
      <c r="B645" s="1"/>
      <c r="C645" s="1"/>
      <c r="D645" s="1"/>
      <c r="E645" s="1"/>
      <c r="F645" s="1"/>
      <c r="G645" s="18"/>
      <c r="H645" s="1"/>
      <c r="I645" s="1"/>
      <c r="J645" s="1"/>
      <c r="K645" s="1"/>
    </row>
    <row r="646" spans="1:11" ht="13.2" x14ac:dyDescent="0.25">
      <c r="A646" s="1"/>
      <c r="B646" s="1"/>
      <c r="C646" s="1"/>
      <c r="D646" s="1"/>
      <c r="E646" s="1"/>
      <c r="F646" s="1"/>
      <c r="G646" s="18"/>
      <c r="H646" s="1"/>
      <c r="I646" s="1"/>
      <c r="J646" s="1"/>
      <c r="K646" s="1"/>
    </row>
    <row r="647" spans="1:11" ht="13.2" x14ac:dyDescent="0.25">
      <c r="A647" s="1"/>
      <c r="B647" s="1"/>
      <c r="C647" s="1"/>
      <c r="D647" s="1"/>
      <c r="E647" s="1"/>
      <c r="F647" s="1"/>
      <c r="G647" s="18"/>
      <c r="H647" s="1"/>
      <c r="I647" s="1"/>
      <c r="J647" s="1"/>
      <c r="K647" s="1"/>
    </row>
    <row r="648" spans="1:11" ht="13.2" x14ac:dyDescent="0.25">
      <c r="A648" s="1"/>
      <c r="B648" s="1"/>
      <c r="C648" s="1"/>
      <c r="D648" s="1"/>
      <c r="E648" s="1"/>
      <c r="F648" s="1"/>
      <c r="G648" s="18"/>
      <c r="H648" s="1"/>
      <c r="I648" s="1"/>
      <c r="J648" s="1"/>
      <c r="K648" s="1"/>
    </row>
    <row r="649" spans="1:11" ht="13.2" x14ac:dyDescent="0.25">
      <c r="A649" s="1"/>
      <c r="B649" s="1"/>
      <c r="C649" s="1"/>
      <c r="D649" s="1"/>
      <c r="E649" s="1"/>
      <c r="F649" s="1"/>
      <c r="G649" s="18"/>
      <c r="H649" s="1"/>
      <c r="I649" s="1"/>
      <c r="J649" s="1"/>
      <c r="K649" s="1"/>
    </row>
    <row r="650" spans="1:11" ht="13.2" x14ac:dyDescent="0.25">
      <c r="A650" s="1"/>
      <c r="B650" s="1"/>
      <c r="C650" s="1"/>
      <c r="D650" s="1"/>
      <c r="E650" s="1"/>
      <c r="F650" s="1"/>
      <c r="G650" s="18"/>
      <c r="H650" s="1"/>
      <c r="I650" s="1"/>
      <c r="J650" s="1"/>
      <c r="K650" s="1"/>
    </row>
    <row r="651" spans="1:11" ht="13.2" x14ac:dyDescent="0.25">
      <c r="A651" s="1"/>
      <c r="B651" s="1"/>
      <c r="C651" s="1"/>
      <c r="D651" s="1"/>
      <c r="E651" s="1"/>
      <c r="F651" s="1"/>
      <c r="G651" s="18"/>
      <c r="H651" s="1"/>
      <c r="I651" s="1"/>
      <c r="J651" s="1"/>
      <c r="K651" s="1"/>
    </row>
    <row r="652" spans="1:11" ht="13.2" x14ac:dyDescent="0.25">
      <c r="A652" s="1"/>
      <c r="B652" s="1"/>
      <c r="C652" s="1"/>
      <c r="D652" s="1"/>
      <c r="E652" s="1"/>
      <c r="F652" s="1"/>
      <c r="G652" s="18"/>
      <c r="H652" s="1"/>
      <c r="I652" s="1"/>
      <c r="J652" s="1"/>
      <c r="K652" s="1"/>
    </row>
    <row r="653" spans="1:11" ht="13.2" x14ac:dyDescent="0.25">
      <c r="A653" s="1"/>
      <c r="B653" s="1"/>
      <c r="C653" s="1"/>
      <c r="D653" s="1"/>
      <c r="E653" s="1"/>
      <c r="F653" s="1"/>
      <c r="G653" s="18"/>
      <c r="H653" s="1"/>
      <c r="I653" s="1"/>
      <c r="J653" s="1"/>
      <c r="K653" s="1"/>
    </row>
    <row r="654" spans="1:11" ht="13.2" x14ac:dyDescent="0.25">
      <c r="A654" s="1"/>
      <c r="B654" s="1"/>
      <c r="C654" s="1"/>
      <c r="D654" s="1"/>
      <c r="E654" s="1"/>
      <c r="F654" s="1"/>
      <c r="G654" s="18"/>
      <c r="H654" s="1"/>
      <c r="I654" s="1"/>
      <c r="J654" s="1"/>
      <c r="K654" s="1"/>
    </row>
    <row r="655" spans="1:11" ht="13.2" x14ac:dyDescent="0.25">
      <c r="A655" s="1"/>
      <c r="B655" s="1"/>
      <c r="C655" s="1"/>
      <c r="D655" s="1"/>
      <c r="E655" s="1"/>
      <c r="F655" s="1"/>
      <c r="G655" s="18"/>
      <c r="H655" s="1"/>
      <c r="I655" s="1"/>
      <c r="J655" s="1"/>
      <c r="K655" s="1"/>
    </row>
    <row r="656" spans="1:11" ht="13.2" x14ac:dyDescent="0.25">
      <c r="A656" s="1"/>
      <c r="B656" s="1"/>
      <c r="C656" s="1"/>
      <c r="D656" s="1"/>
      <c r="E656" s="1"/>
      <c r="F656" s="1"/>
      <c r="G656" s="18"/>
      <c r="H656" s="1"/>
      <c r="I656" s="1"/>
      <c r="J656" s="1"/>
      <c r="K656" s="1"/>
    </row>
    <row r="657" spans="1:11" ht="13.2" x14ac:dyDescent="0.25">
      <c r="A657" s="1"/>
      <c r="B657" s="1"/>
      <c r="C657" s="1"/>
      <c r="D657" s="1"/>
      <c r="E657" s="1"/>
      <c r="F657" s="1"/>
      <c r="G657" s="18"/>
      <c r="H657" s="1"/>
      <c r="I657" s="1"/>
      <c r="J657" s="1"/>
      <c r="K657" s="1"/>
    </row>
    <row r="658" spans="1:11" ht="13.2" x14ac:dyDescent="0.25">
      <c r="A658" s="1"/>
      <c r="B658" s="1"/>
      <c r="C658" s="1"/>
      <c r="D658" s="1"/>
      <c r="E658" s="1"/>
      <c r="F658" s="1"/>
      <c r="G658" s="18"/>
      <c r="H658" s="1"/>
      <c r="I658" s="1"/>
      <c r="J658" s="1"/>
      <c r="K658" s="1"/>
    </row>
    <row r="659" spans="1:11" ht="13.2" x14ac:dyDescent="0.25">
      <c r="A659" s="1"/>
      <c r="B659" s="1"/>
      <c r="C659" s="1"/>
      <c r="D659" s="1"/>
      <c r="E659" s="1"/>
      <c r="F659" s="1"/>
      <c r="G659" s="18"/>
      <c r="H659" s="1"/>
      <c r="I659" s="1"/>
      <c r="J659" s="1"/>
      <c r="K659" s="1"/>
    </row>
    <row r="660" spans="1:11" ht="13.2" x14ac:dyDescent="0.25">
      <c r="A660" s="1"/>
      <c r="B660" s="1"/>
      <c r="C660" s="1"/>
      <c r="D660" s="1"/>
      <c r="E660" s="1"/>
      <c r="F660" s="1"/>
      <c r="G660" s="18"/>
      <c r="H660" s="1"/>
      <c r="I660" s="1"/>
      <c r="J660" s="1"/>
      <c r="K660" s="1"/>
    </row>
    <row r="661" spans="1:11" ht="13.2" x14ac:dyDescent="0.25">
      <c r="A661" s="1"/>
      <c r="B661" s="1"/>
      <c r="C661" s="1"/>
      <c r="D661" s="1"/>
      <c r="E661" s="1"/>
      <c r="F661" s="1"/>
      <c r="G661" s="18"/>
      <c r="H661" s="1"/>
      <c r="I661" s="1"/>
      <c r="J661" s="1"/>
      <c r="K661" s="1"/>
    </row>
    <row r="662" spans="1:11" ht="13.2" x14ac:dyDescent="0.25">
      <c r="A662" s="1"/>
      <c r="B662" s="1"/>
      <c r="C662" s="1"/>
      <c r="D662" s="1"/>
      <c r="E662" s="1"/>
      <c r="F662" s="1"/>
      <c r="G662" s="18"/>
      <c r="H662" s="1"/>
      <c r="I662" s="1"/>
      <c r="J662" s="1"/>
      <c r="K662" s="1"/>
    </row>
    <row r="663" spans="1:11" ht="13.2" x14ac:dyDescent="0.25">
      <c r="A663" s="1"/>
      <c r="B663" s="1"/>
      <c r="C663" s="1"/>
      <c r="D663" s="1"/>
      <c r="E663" s="1"/>
      <c r="F663" s="1"/>
      <c r="G663" s="18"/>
      <c r="H663" s="1"/>
      <c r="I663" s="1"/>
      <c r="J663" s="1"/>
      <c r="K663" s="1"/>
    </row>
    <row r="664" spans="1:11" ht="13.2" x14ac:dyDescent="0.25">
      <c r="A664" s="1"/>
      <c r="B664" s="1"/>
      <c r="C664" s="1"/>
      <c r="D664" s="1"/>
      <c r="E664" s="1"/>
      <c r="F664" s="1"/>
      <c r="G664" s="18"/>
      <c r="H664" s="1"/>
      <c r="I664" s="1"/>
      <c r="J664" s="1"/>
      <c r="K664" s="1"/>
    </row>
    <row r="665" spans="1:11" ht="13.2" x14ac:dyDescent="0.25">
      <c r="A665" s="1"/>
      <c r="B665" s="1"/>
      <c r="C665" s="1"/>
      <c r="D665" s="1"/>
      <c r="E665" s="1"/>
      <c r="F665" s="1"/>
      <c r="G665" s="18"/>
      <c r="H665" s="1"/>
      <c r="I665" s="1"/>
      <c r="J665" s="1"/>
      <c r="K665" s="1"/>
    </row>
    <row r="666" spans="1:11" ht="13.2" x14ac:dyDescent="0.25">
      <c r="A666" s="1"/>
      <c r="B666" s="1"/>
      <c r="C666" s="1"/>
      <c r="D666" s="1"/>
      <c r="E666" s="1"/>
      <c r="F666" s="1"/>
      <c r="G666" s="18"/>
      <c r="H666" s="1"/>
      <c r="I666" s="1"/>
      <c r="J666" s="1"/>
      <c r="K666" s="1"/>
    </row>
    <row r="667" spans="1:11" ht="13.2" x14ac:dyDescent="0.25">
      <c r="A667" s="1"/>
      <c r="B667" s="1"/>
      <c r="C667" s="1"/>
      <c r="D667" s="1"/>
      <c r="E667" s="1"/>
      <c r="F667" s="1"/>
      <c r="G667" s="18"/>
      <c r="H667" s="1"/>
      <c r="I667" s="1"/>
      <c r="J667" s="1"/>
      <c r="K667" s="1"/>
    </row>
    <row r="668" spans="1:11" ht="13.2" x14ac:dyDescent="0.25">
      <c r="A668" s="1"/>
      <c r="B668" s="1"/>
      <c r="C668" s="1"/>
      <c r="D668" s="1"/>
      <c r="E668" s="1"/>
      <c r="F668" s="1"/>
      <c r="G668" s="18"/>
      <c r="H668" s="1"/>
      <c r="I668" s="1"/>
      <c r="J668" s="1"/>
      <c r="K668" s="1"/>
    </row>
    <row r="669" spans="1:11" ht="13.2" x14ac:dyDescent="0.25">
      <c r="A669" s="1"/>
      <c r="B669" s="1"/>
      <c r="C669" s="1"/>
      <c r="D669" s="1"/>
      <c r="E669" s="1"/>
      <c r="F669" s="1"/>
      <c r="G669" s="18"/>
      <c r="H669" s="1"/>
      <c r="I669" s="1"/>
      <c r="J669" s="1"/>
      <c r="K669" s="1"/>
    </row>
    <row r="670" spans="1:11" ht="13.2" x14ac:dyDescent="0.25">
      <c r="A670" s="1"/>
      <c r="B670" s="1"/>
      <c r="C670" s="1"/>
      <c r="D670" s="1"/>
      <c r="E670" s="1"/>
      <c r="F670" s="1"/>
      <c r="G670" s="18"/>
      <c r="H670" s="1"/>
      <c r="I670" s="1"/>
      <c r="J670" s="1"/>
      <c r="K670" s="1"/>
    </row>
    <row r="671" spans="1:11" ht="13.2" x14ac:dyDescent="0.25">
      <c r="A671" s="1"/>
      <c r="B671" s="1"/>
      <c r="C671" s="1"/>
      <c r="D671" s="1"/>
      <c r="E671" s="1"/>
      <c r="F671" s="1"/>
      <c r="G671" s="18"/>
      <c r="H671" s="1"/>
      <c r="I671" s="1"/>
      <c r="J671" s="1"/>
      <c r="K671" s="1"/>
    </row>
    <row r="672" spans="1:11" ht="13.2" x14ac:dyDescent="0.25">
      <c r="A672" s="1"/>
      <c r="B672" s="1"/>
      <c r="C672" s="1"/>
      <c r="D672" s="1"/>
      <c r="E672" s="1"/>
      <c r="F672" s="1"/>
      <c r="G672" s="18"/>
      <c r="H672" s="1"/>
      <c r="I672" s="1"/>
      <c r="J672" s="1"/>
      <c r="K672" s="1"/>
    </row>
    <row r="673" spans="1:11" ht="13.2" x14ac:dyDescent="0.25">
      <c r="A673" s="1"/>
      <c r="B673" s="1"/>
      <c r="C673" s="1"/>
      <c r="D673" s="1"/>
      <c r="E673" s="1"/>
      <c r="F673" s="1"/>
      <c r="G673" s="18"/>
      <c r="H673" s="1"/>
      <c r="I673" s="1"/>
      <c r="J673" s="1"/>
      <c r="K673" s="1"/>
    </row>
    <row r="674" spans="1:11" ht="13.2" x14ac:dyDescent="0.25">
      <c r="A674" s="1"/>
      <c r="B674" s="1"/>
      <c r="C674" s="1"/>
      <c r="D674" s="1"/>
      <c r="E674" s="1"/>
      <c r="F674" s="1"/>
      <c r="G674" s="18"/>
      <c r="H674" s="1"/>
      <c r="I674" s="1"/>
      <c r="J674" s="1"/>
      <c r="K674" s="1"/>
    </row>
    <row r="675" spans="1:11" ht="13.2" x14ac:dyDescent="0.25">
      <c r="A675" s="1"/>
      <c r="B675" s="1"/>
      <c r="C675" s="1"/>
      <c r="D675" s="1"/>
      <c r="E675" s="1"/>
      <c r="F675" s="1"/>
      <c r="G675" s="18"/>
      <c r="H675" s="1"/>
      <c r="I675" s="1"/>
      <c r="J675" s="1"/>
      <c r="K675" s="1"/>
    </row>
    <row r="676" spans="1:11" ht="13.2" x14ac:dyDescent="0.25">
      <c r="A676" s="1"/>
      <c r="B676" s="1"/>
      <c r="C676" s="1"/>
      <c r="D676" s="1"/>
      <c r="E676" s="1"/>
      <c r="F676" s="1"/>
      <c r="G676" s="18"/>
      <c r="H676" s="1"/>
      <c r="I676" s="1"/>
      <c r="J676" s="1"/>
      <c r="K676" s="1"/>
    </row>
    <row r="677" spans="1:11" ht="13.2" x14ac:dyDescent="0.25">
      <c r="A677" s="1"/>
      <c r="B677" s="1"/>
      <c r="C677" s="1"/>
      <c r="D677" s="1"/>
      <c r="E677" s="1"/>
      <c r="F677" s="1"/>
      <c r="G677" s="18"/>
      <c r="H677" s="1"/>
      <c r="I677" s="1"/>
      <c r="J677" s="1"/>
      <c r="K677" s="1"/>
    </row>
    <row r="678" spans="1:11" ht="13.2" x14ac:dyDescent="0.25">
      <c r="A678" s="1"/>
      <c r="B678" s="1"/>
      <c r="C678" s="1"/>
      <c r="D678" s="1"/>
      <c r="E678" s="1"/>
      <c r="F678" s="1"/>
      <c r="G678" s="18"/>
      <c r="H678" s="1"/>
      <c r="I678" s="1"/>
      <c r="J678" s="1"/>
      <c r="K678" s="1"/>
    </row>
    <row r="679" spans="1:11" ht="13.2" x14ac:dyDescent="0.25">
      <c r="A679" s="1"/>
      <c r="B679" s="1"/>
      <c r="C679" s="1"/>
      <c r="D679" s="1"/>
      <c r="E679" s="1"/>
      <c r="F679" s="1"/>
      <c r="G679" s="18"/>
      <c r="H679" s="1"/>
      <c r="I679" s="1"/>
      <c r="J679" s="1"/>
      <c r="K679" s="1"/>
    </row>
    <row r="680" spans="1:11" ht="13.2" x14ac:dyDescent="0.25">
      <c r="A680" s="1"/>
      <c r="B680" s="1"/>
      <c r="C680" s="1"/>
      <c r="D680" s="1"/>
      <c r="E680" s="1"/>
      <c r="F680" s="1"/>
      <c r="G680" s="18"/>
      <c r="H680" s="1"/>
      <c r="I680" s="1"/>
      <c r="J680" s="1"/>
      <c r="K680" s="1"/>
    </row>
    <row r="681" spans="1:11" ht="13.2" x14ac:dyDescent="0.25">
      <c r="A681" s="1"/>
      <c r="B681" s="1"/>
      <c r="C681" s="1"/>
      <c r="D681" s="1"/>
      <c r="E681" s="1"/>
      <c r="F681" s="1"/>
      <c r="G681" s="18"/>
      <c r="H681" s="1"/>
      <c r="I681" s="1"/>
      <c r="J681" s="1"/>
      <c r="K681" s="1"/>
    </row>
    <row r="682" spans="1:11" ht="13.2" x14ac:dyDescent="0.25">
      <c r="A682" s="1"/>
      <c r="B682" s="1"/>
      <c r="C682" s="1"/>
      <c r="D682" s="1"/>
      <c r="E682" s="1"/>
      <c r="F682" s="1"/>
      <c r="G682" s="18"/>
      <c r="H682" s="1"/>
      <c r="I682" s="1"/>
      <c r="J682" s="1"/>
      <c r="K682" s="1"/>
    </row>
    <row r="683" spans="1:11" ht="13.2" x14ac:dyDescent="0.25">
      <c r="A683" s="1"/>
      <c r="B683" s="1"/>
      <c r="C683" s="1"/>
      <c r="D683" s="1"/>
      <c r="E683" s="1"/>
      <c r="F683" s="1"/>
      <c r="G683" s="18"/>
      <c r="H683" s="1"/>
      <c r="I683" s="1"/>
      <c r="J683" s="1"/>
      <c r="K683" s="1"/>
    </row>
    <row r="684" spans="1:11" ht="13.2" x14ac:dyDescent="0.25">
      <c r="A684" s="1"/>
      <c r="B684" s="1"/>
      <c r="C684" s="1"/>
      <c r="D684" s="1"/>
      <c r="E684" s="1"/>
      <c r="F684" s="1"/>
      <c r="G684" s="18"/>
      <c r="H684" s="1"/>
      <c r="I684" s="1"/>
      <c r="J684" s="1"/>
      <c r="K684" s="1"/>
    </row>
    <row r="685" spans="1:11" ht="13.2" x14ac:dyDescent="0.25">
      <c r="A685" s="1"/>
      <c r="B685" s="1"/>
      <c r="C685" s="1"/>
      <c r="D685" s="1"/>
      <c r="E685" s="1"/>
      <c r="F685" s="1"/>
      <c r="G685" s="18"/>
      <c r="H685" s="1"/>
      <c r="I685" s="1"/>
      <c r="J685" s="1"/>
      <c r="K685" s="1"/>
    </row>
    <row r="686" spans="1:11" ht="13.2" x14ac:dyDescent="0.25">
      <c r="A686" s="1"/>
      <c r="B686" s="1"/>
      <c r="C686" s="1"/>
      <c r="D686" s="1"/>
      <c r="E686" s="1"/>
      <c r="F686" s="1"/>
      <c r="G686" s="18"/>
      <c r="H686" s="1"/>
      <c r="I686" s="1"/>
      <c r="J686" s="1"/>
      <c r="K686" s="1"/>
    </row>
    <row r="687" spans="1:11" ht="13.2" x14ac:dyDescent="0.25">
      <c r="A687" s="1"/>
      <c r="B687" s="1"/>
      <c r="C687" s="1"/>
      <c r="D687" s="1"/>
      <c r="E687" s="1"/>
      <c r="F687" s="1"/>
      <c r="G687" s="18"/>
      <c r="H687" s="1"/>
      <c r="I687" s="1"/>
      <c r="J687" s="1"/>
      <c r="K687" s="1"/>
    </row>
    <row r="688" spans="1:11" ht="13.2" x14ac:dyDescent="0.25">
      <c r="A688" s="1"/>
      <c r="B688" s="1"/>
      <c r="C688" s="1"/>
      <c r="D688" s="1"/>
      <c r="E688" s="1"/>
      <c r="F688" s="1"/>
      <c r="G688" s="18"/>
      <c r="H688" s="1"/>
      <c r="I688" s="1"/>
      <c r="J688" s="1"/>
      <c r="K688" s="1"/>
    </row>
    <row r="689" spans="1:11" ht="13.2" x14ac:dyDescent="0.25">
      <c r="A689" s="1"/>
      <c r="B689" s="1"/>
      <c r="C689" s="1"/>
      <c r="D689" s="1"/>
      <c r="E689" s="1"/>
      <c r="F689" s="1"/>
      <c r="G689" s="18"/>
      <c r="H689" s="1"/>
      <c r="I689" s="1"/>
      <c r="J689" s="1"/>
      <c r="K689" s="1"/>
    </row>
    <row r="690" spans="1:11" ht="13.2" x14ac:dyDescent="0.25">
      <c r="A690" s="1"/>
      <c r="B690" s="1"/>
      <c r="C690" s="1"/>
      <c r="D690" s="1"/>
      <c r="E690" s="1"/>
      <c r="F690" s="1"/>
      <c r="G690" s="18"/>
      <c r="H690" s="1"/>
      <c r="I690" s="1"/>
      <c r="J690" s="1"/>
      <c r="K690" s="1"/>
    </row>
    <row r="691" spans="1:11" ht="13.2" x14ac:dyDescent="0.25">
      <c r="A691" s="1"/>
      <c r="B691" s="1"/>
      <c r="C691" s="1"/>
      <c r="D691" s="1"/>
      <c r="E691" s="1"/>
      <c r="F691" s="1"/>
      <c r="G691" s="18"/>
      <c r="H691" s="1"/>
      <c r="I691" s="1"/>
      <c r="J691" s="1"/>
      <c r="K691" s="1"/>
    </row>
    <row r="692" spans="1:11" ht="13.2" x14ac:dyDescent="0.25">
      <c r="A692" s="1"/>
      <c r="B692" s="1"/>
      <c r="C692" s="1"/>
      <c r="D692" s="1"/>
      <c r="E692" s="1"/>
      <c r="F692" s="1"/>
      <c r="G692" s="18"/>
      <c r="H692" s="1"/>
      <c r="I692" s="1"/>
      <c r="J692" s="1"/>
      <c r="K692" s="1"/>
    </row>
    <row r="693" spans="1:11" ht="13.2" x14ac:dyDescent="0.25">
      <c r="A693" s="1"/>
      <c r="B693" s="1"/>
      <c r="C693" s="1"/>
      <c r="D693" s="1"/>
      <c r="E693" s="1"/>
      <c r="F693" s="1"/>
      <c r="G693" s="18"/>
      <c r="H693" s="1"/>
      <c r="I693" s="1"/>
      <c r="J693" s="1"/>
      <c r="K693" s="1"/>
    </row>
    <row r="694" spans="1:11" ht="13.2" x14ac:dyDescent="0.25">
      <c r="A694" s="1"/>
      <c r="B694" s="1"/>
      <c r="C694" s="1"/>
      <c r="D694" s="1"/>
      <c r="E694" s="1"/>
      <c r="F694" s="1"/>
      <c r="G694" s="18"/>
      <c r="H694" s="1"/>
      <c r="I694" s="1"/>
      <c r="J694" s="1"/>
      <c r="K694" s="1"/>
    </row>
    <row r="695" spans="1:11" ht="13.2" x14ac:dyDescent="0.25">
      <c r="A695" s="1"/>
      <c r="B695" s="1"/>
      <c r="C695" s="1"/>
      <c r="D695" s="1"/>
      <c r="E695" s="1"/>
      <c r="F695" s="1"/>
      <c r="G695" s="18"/>
      <c r="H695" s="1"/>
      <c r="I695" s="1"/>
      <c r="J695" s="1"/>
      <c r="K695" s="1"/>
    </row>
    <row r="696" spans="1:11" ht="13.2" x14ac:dyDescent="0.25">
      <c r="A696" s="1"/>
      <c r="B696" s="1"/>
      <c r="C696" s="1"/>
      <c r="D696" s="1"/>
      <c r="E696" s="1"/>
      <c r="F696" s="1"/>
      <c r="G696" s="18"/>
      <c r="H696" s="1"/>
      <c r="I696" s="1"/>
      <c r="J696" s="1"/>
      <c r="K696" s="1"/>
    </row>
    <row r="697" spans="1:11" ht="13.2" x14ac:dyDescent="0.25">
      <c r="A697" s="1"/>
      <c r="B697" s="1"/>
      <c r="C697" s="1"/>
      <c r="D697" s="1"/>
      <c r="E697" s="1"/>
      <c r="F697" s="1"/>
      <c r="G697" s="18"/>
      <c r="H697" s="1"/>
      <c r="I697" s="1"/>
      <c r="J697" s="1"/>
      <c r="K697" s="1"/>
    </row>
    <row r="698" spans="1:11" ht="13.2" x14ac:dyDescent="0.25">
      <c r="A698" s="1"/>
      <c r="B698" s="1"/>
      <c r="C698" s="1"/>
      <c r="D698" s="1"/>
      <c r="E698" s="1"/>
      <c r="F698" s="1"/>
      <c r="G698" s="18"/>
      <c r="H698" s="1"/>
      <c r="I698" s="1"/>
      <c r="J698" s="1"/>
      <c r="K698" s="1"/>
    </row>
    <row r="699" spans="1:11" ht="13.2" x14ac:dyDescent="0.25">
      <c r="A699" s="1"/>
      <c r="B699" s="1"/>
      <c r="C699" s="1"/>
      <c r="D699" s="1"/>
      <c r="E699" s="1"/>
      <c r="F699" s="1"/>
      <c r="G699" s="18"/>
      <c r="H699" s="1"/>
      <c r="I699" s="1"/>
      <c r="J699" s="1"/>
      <c r="K699" s="1"/>
    </row>
    <row r="700" spans="1:11" ht="13.2" x14ac:dyDescent="0.25">
      <c r="A700" s="1"/>
      <c r="B700" s="1"/>
      <c r="C700" s="1"/>
      <c r="D700" s="1"/>
      <c r="E700" s="1"/>
      <c r="F700" s="1"/>
      <c r="G700" s="18"/>
      <c r="H700" s="1"/>
      <c r="I700" s="1"/>
      <c r="J700" s="1"/>
      <c r="K700" s="1"/>
    </row>
    <row r="701" spans="1:11" ht="13.2" x14ac:dyDescent="0.25">
      <c r="A701" s="1"/>
      <c r="B701" s="1"/>
      <c r="C701" s="1"/>
      <c r="D701" s="1"/>
      <c r="E701" s="1"/>
      <c r="F701" s="1"/>
      <c r="G701" s="18"/>
      <c r="H701" s="1"/>
      <c r="I701" s="1"/>
      <c r="J701" s="1"/>
      <c r="K701" s="1"/>
    </row>
    <row r="702" spans="1:11" ht="13.2" x14ac:dyDescent="0.25">
      <c r="A702" s="1"/>
      <c r="B702" s="1"/>
      <c r="C702" s="1"/>
      <c r="D702" s="1"/>
      <c r="E702" s="1"/>
      <c r="F702" s="1"/>
      <c r="G702" s="18"/>
      <c r="H702" s="1"/>
      <c r="I702" s="1"/>
      <c r="J702" s="1"/>
      <c r="K702" s="1"/>
    </row>
    <row r="703" spans="1:11" ht="13.2" x14ac:dyDescent="0.25">
      <c r="A703" s="1"/>
      <c r="B703" s="1"/>
      <c r="C703" s="1"/>
      <c r="D703" s="1"/>
      <c r="E703" s="1"/>
      <c r="F703" s="1"/>
      <c r="G703" s="18"/>
      <c r="H703" s="1"/>
      <c r="I703" s="1"/>
      <c r="J703" s="1"/>
      <c r="K703" s="1"/>
    </row>
    <row r="704" spans="1:11" ht="13.2" x14ac:dyDescent="0.25">
      <c r="A704" s="1"/>
      <c r="B704" s="1"/>
      <c r="C704" s="1"/>
      <c r="D704" s="1"/>
      <c r="E704" s="1"/>
      <c r="F704" s="1"/>
      <c r="G704" s="18"/>
      <c r="H704" s="1"/>
      <c r="I704" s="1"/>
      <c r="J704" s="1"/>
      <c r="K704" s="1"/>
    </row>
    <row r="705" spans="1:11" ht="13.2" x14ac:dyDescent="0.25">
      <c r="A705" s="1"/>
      <c r="B705" s="1"/>
      <c r="C705" s="1"/>
      <c r="D705" s="1"/>
      <c r="E705" s="1"/>
      <c r="F705" s="1"/>
      <c r="G705" s="18"/>
      <c r="H705" s="1"/>
      <c r="I705" s="1"/>
      <c r="J705" s="1"/>
      <c r="K705" s="1"/>
    </row>
    <row r="706" spans="1:11" ht="13.2" x14ac:dyDescent="0.25">
      <c r="A706" s="1"/>
      <c r="B706" s="1"/>
      <c r="C706" s="1"/>
      <c r="D706" s="1"/>
      <c r="E706" s="1"/>
      <c r="F706" s="1"/>
      <c r="G706" s="18"/>
      <c r="H706" s="1"/>
      <c r="I706" s="1"/>
      <c r="J706" s="1"/>
      <c r="K706" s="1"/>
    </row>
    <row r="707" spans="1:11" ht="13.2" x14ac:dyDescent="0.25">
      <c r="A707" s="1"/>
      <c r="B707" s="1"/>
      <c r="C707" s="1"/>
      <c r="D707" s="1"/>
      <c r="E707" s="1"/>
      <c r="F707" s="1"/>
      <c r="G707" s="18"/>
      <c r="H707" s="1"/>
      <c r="I707" s="1"/>
      <c r="J707" s="1"/>
      <c r="K707" s="1"/>
    </row>
    <row r="708" spans="1:11" ht="13.2" x14ac:dyDescent="0.25">
      <c r="A708" s="1"/>
      <c r="B708" s="1"/>
      <c r="C708" s="1"/>
      <c r="D708" s="1"/>
      <c r="E708" s="1"/>
      <c r="F708" s="1"/>
      <c r="G708" s="18"/>
      <c r="H708" s="1"/>
      <c r="I708" s="1"/>
      <c r="J708" s="1"/>
      <c r="K708" s="1"/>
    </row>
    <row r="709" spans="1:11" ht="13.2" x14ac:dyDescent="0.25">
      <c r="A709" s="1"/>
      <c r="B709" s="1"/>
      <c r="C709" s="1"/>
      <c r="D709" s="1"/>
      <c r="E709" s="1"/>
      <c r="F709" s="1"/>
      <c r="G709" s="18"/>
      <c r="H709" s="1"/>
      <c r="I709" s="1"/>
      <c r="J709" s="1"/>
      <c r="K709" s="1"/>
    </row>
    <row r="710" spans="1:11" ht="13.2" x14ac:dyDescent="0.25">
      <c r="A710" s="1"/>
      <c r="B710" s="1"/>
      <c r="C710" s="1"/>
      <c r="D710" s="1"/>
      <c r="E710" s="1"/>
      <c r="F710" s="1"/>
      <c r="G710" s="18"/>
      <c r="H710" s="1"/>
      <c r="I710" s="1"/>
      <c r="J710" s="1"/>
      <c r="K710" s="1"/>
    </row>
    <row r="711" spans="1:11" ht="13.2" x14ac:dyDescent="0.25">
      <c r="A711" s="1"/>
      <c r="B711" s="1"/>
      <c r="C711" s="1"/>
      <c r="D711" s="1"/>
      <c r="E711" s="1"/>
      <c r="F711" s="1"/>
      <c r="G711" s="18"/>
      <c r="H711" s="1"/>
      <c r="I711" s="1"/>
      <c r="J711" s="1"/>
      <c r="K711" s="1"/>
    </row>
    <row r="712" spans="1:11" ht="13.2" x14ac:dyDescent="0.25">
      <c r="A712" s="1"/>
      <c r="B712" s="1"/>
      <c r="C712" s="1"/>
      <c r="D712" s="1"/>
      <c r="E712" s="1"/>
      <c r="F712" s="1"/>
      <c r="G712" s="18"/>
      <c r="H712" s="1"/>
      <c r="I712" s="1"/>
      <c r="J712" s="1"/>
      <c r="K712" s="1"/>
    </row>
    <row r="713" spans="1:11" ht="13.2" x14ac:dyDescent="0.25">
      <c r="A713" s="1"/>
      <c r="B713" s="1"/>
      <c r="C713" s="1"/>
      <c r="D713" s="1"/>
      <c r="E713" s="1"/>
      <c r="F713" s="1"/>
      <c r="G713" s="18"/>
      <c r="H713" s="1"/>
      <c r="I713" s="1"/>
      <c r="J713" s="1"/>
      <c r="K713" s="1"/>
    </row>
    <row r="714" spans="1:11" ht="13.2" x14ac:dyDescent="0.25">
      <c r="A714" s="1"/>
      <c r="B714" s="1"/>
      <c r="C714" s="1"/>
      <c r="D714" s="1"/>
      <c r="E714" s="1"/>
      <c r="F714" s="1"/>
      <c r="G714" s="18"/>
      <c r="H714" s="1"/>
      <c r="I714" s="1"/>
      <c r="J714" s="1"/>
      <c r="K714" s="1"/>
    </row>
    <row r="715" spans="1:11" ht="13.2" x14ac:dyDescent="0.25">
      <c r="A715" s="1"/>
      <c r="B715" s="1"/>
      <c r="C715" s="1"/>
      <c r="D715" s="1"/>
      <c r="E715" s="1"/>
      <c r="F715" s="1"/>
      <c r="G715" s="18"/>
      <c r="H715" s="1"/>
      <c r="I715" s="1"/>
      <c r="J715" s="1"/>
      <c r="K715" s="1"/>
    </row>
    <row r="716" spans="1:11" ht="13.2" x14ac:dyDescent="0.25">
      <c r="A716" s="1"/>
      <c r="B716" s="1"/>
      <c r="C716" s="1"/>
      <c r="D716" s="1"/>
      <c r="E716" s="1"/>
      <c r="F716" s="1"/>
      <c r="G716" s="18"/>
      <c r="H716" s="1"/>
      <c r="I716" s="1"/>
      <c r="J716" s="1"/>
      <c r="K716" s="1"/>
    </row>
    <row r="717" spans="1:11" ht="13.2" x14ac:dyDescent="0.25">
      <c r="A717" s="1"/>
      <c r="B717" s="1"/>
      <c r="C717" s="1"/>
      <c r="D717" s="1"/>
      <c r="E717" s="1"/>
      <c r="F717" s="1"/>
      <c r="G717" s="18"/>
      <c r="H717" s="1"/>
      <c r="I717" s="1"/>
      <c r="J717" s="1"/>
      <c r="K717" s="1"/>
    </row>
    <row r="718" spans="1:11" ht="13.2" x14ac:dyDescent="0.25">
      <c r="A718" s="1"/>
      <c r="B718" s="1"/>
      <c r="C718" s="1"/>
      <c r="D718" s="1"/>
      <c r="E718" s="1"/>
      <c r="F718" s="1"/>
      <c r="G718" s="18"/>
      <c r="H718" s="1"/>
      <c r="I718" s="1"/>
      <c r="J718" s="1"/>
      <c r="K718" s="1"/>
    </row>
    <row r="719" spans="1:11" ht="13.2" x14ac:dyDescent="0.25">
      <c r="A719" s="1"/>
      <c r="B719" s="1"/>
      <c r="C719" s="1"/>
      <c r="D719" s="1"/>
      <c r="E719" s="1"/>
      <c r="F719" s="1"/>
      <c r="G719" s="18"/>
      <c r="H719" s="1"/>
      <c r="I719" s="1"/>
      <c r="J719" s="1"/>
      <c r="K719" s="1"/>
    </row>
    <row r="720" spans="1:11" ht="13.2" x14ac:dyDescent="0.25">
      <c r="A720" s="1"/>
      <c r="B720" s="1"/>
      <c r="C720" s="1"/>
      <c r="D720" s="1"/>
      <c r="E720" s="1"/>
      <c r="F720" s="1"/>
      <c r="G720" s="18"/>
      <c r="H720" s="1"/>
      <c r="I720" s="1"/>
      <c r="J720" s="1"/>
      <c r="K720" s="1"/>
    </row>
    <row r="721" spans="1:11" ht="13.2" x14ac:dyDescent="0.25">
      <c r="A721" s="1"/>
      <c r="B721" s="1"/>
      <c r="C721" s="1"/>
      <c r="D721" s="1"/>
      <c r="E721" s="1"/>
      <c r="F721" s="1"/>
      <c r="G721" s="18"/>
      <c r="H721" s="1"/>
      <c r="I721" s="1"/>
      <c r="J721" s="1"/>
      <c r="K721" s="1"/>
    </row>
    <row r="722" spans="1:11" ht="13.2" x14ac:dyDescent="0.25">
      <c r="A722" s="1"/>
      <c r="B722" s="1"/>
      <c r="C722" s="1"/>
      <c r="D722" s="1"/>
      <c r="E722" s="1"/>
      <c r="F722" s="1"/>
      <c r="G722" s="18"/>
      <c r="H722" s="1"/>
      <c r="I722" s="1"/>
      <c r="J722" s="1"/>
      <c r="K722" s="1"/>
    </row>
    <row r="723" spans="1:11" ht="13.2" x14ac:dyDescent="0.25">
      <c r="A723" s="1"/>
      <c r="B723" s="1"/>
      <c r="C723" s="1"/>
      <c r="D723" s="1"/>
      <c r="E723" s="1"/>
      <c r="F723" s="1"/>
      <c r="G723" s="18"/>
      <c r="H723" s="1"/>
      <c r="I723" s="1"/>
      <c r="J723" s="1"/>
      <c r="K723" s="1"/>
    </row>
    <row r="724" spans="1:11" ht="13.2" x14ac:dyDescent="0.25">
      <c r="A724" s="1"/>
      <c r="B724" s="1"/>
      <c r="C724" s="1"/>
      <c r="D724" s="1"/>
      <c r="E724" s="1"/>
      <c r="F724" s="1"/>
      <c r="G724" s="18"/>
      <c r="H724" s="1"/>
      <c r="I724" s="1"/>
      <c r="J724" s="1"/>
      <c r="K724" s="1"/>
    </row>
    <row r="725" spans="1:11" ht="13.2" x14ac:dyDescent="0.25">
      <c r="A725" s="1"/>
      <c r="B725" s="1"/>
      <c r="C725" s="1"/>
      <c r="D725" s="1"/>
      <c r="E725" s="1"/>
      <c r="F725" s="1"/>
      <c r="G725" s="18"/>
      <c r="H725" s="1"/>
      <c r="I725" s="1"/>
      <c r="J725" s="1"/>
      <c r="K725" s="1"/>
    </row>
    <row r="726" spans="1:11" ht="13.2" x14ac:dyDescent="0.25">
      <c r="A726" s="1"/>
      <c r="B726" s="1"/>
      <c r="C726" s="1"/>
      <c r="D726" s="1"/>
      <c r="E726" s="1"/>
      <c r="F726" s="1"/>
      <c r="G726" s="18"/>
      <c r="H726" s="1"/>
      <c r="I726" s="1"/>
      <c r="J726" s="1"/>
      <c r="K726" s="1"/>
    </row>
    <row r="727" spans="1:11" ht="13.2" x14ac:dyDescent="0.25">
      <c r="A727" s="1"/>
      <c r="B727" s="1"/>
      <c r="C727" s="1"/>
      <c r="D727" s="1"/>
      <c r="E727" s="1"/>
      <c r="F727" s="1"/>
      <c r="G727" s="18"/>
      <c r="H727" s="1"/>
      <c r="I727" s="1"/>
      <c r="J727" s="1"/>
      <c r="K727" s="1"/>
    </row>
    <row r="728" spans="1:11" ht="13.2" x14ac:dyDescent="0.25">
      <c r="A728" s="1"/>
      <c r="B728" s="1"/>
      <c r="C728" s="1"/>
      <c r="D728" s="1"/>
      <c r="E728" s="1"/>
      <c r="F728" s="1"/>
      <c r="G728" s="18"/>
      <c r="H728" s="1"/>
      <c r="I728" s="1"/>
      <c r="J728" s="1"/>
      <c r="K728" s="1"/>
    </row>
    <row r="729" spans="1:11" ht="13.2" x14ac:dyDescent="0.25">
      <c r="A729" s="1"/>
      <c r="B729" s="1"/>
      <c r="C729" s="1"/>
      <c r="D729" s="1"/>
      <c r="E729" s="1"/>
      <c r="F729" s="1"/>
      <c r="G729" s="18"/>
      <c r="H729" s="1"/>
      <c r="I729" s="1"/>
      <c r="J729" s="1"/>
      <c r="K729" s="1"/>
    </row>
    <row r="730" spans="1:11" ht="13.2" x14ac:dyDescent="0.25">
      <c r="A730" s="1"/>
      <c r="B730" s="1"/>
      <c r="C730" s="1"/>
      <c r="D730" s="1"/>
      <c r="E730" s="1"/>
      <c r="F730" s="1"/>
      <c r="G730" s="18"/>
      <c r="H730" s="1"/>
      <c r="I730" s="1"/>
      <c r="J730" s="1"/>
      <c r="K730" s="1"/>
    </row>
    <row r="731" spans="1:11" ht="13.2" x14ac:dyDescent="0.25">
      <c r="A731" s="1"/>
      <c r="B731" s="1"/>
      <c r="C731" s="1"/>
      <c r="D731" s="1"/>
      <c r="E731" s="1"/>
      <c r="F731" s="1"/>
      <c r="G731" s="18"/>
      <c r="H731" s="1"/>
      <c r="I731" s="1"/>
      <c r="J731" s="1"/>
      <c r="K731" s="1"/>
    </row>
    <row r="732" spans="1:11" ht="13.2" x14ac:dyDescent="0.25">
      <c r="A732" s="1"/>
      <c r="B732" s="1"/>
      <c r="C732" s="1"/>
      <c r="D732" s="1"/>
      <c r="E732" s="1"/>
      <c r="F732" s="1"/>
      <c r="G732" s="18"/>
      <c r="H732" s="1"/>
      <c r="I732" s="1"/>
      <c r="J732" s="1"/>
      <c r="K732" s="1"/>
    </row>
    <row r="733" spans="1:11" ht="13.2" x14ac:dyDescent="0.25">
      <c r="A733" s="1"/>
      <c r="B733" s="1"/>
      <c r="C733" s="1"/>
      <c r="D733" s="1"/>
      <c r="E733" s="1"/>
      <c r="F733" s="1"/>
      <c r="G733" s="18"/>
      <c r="H733" s="1"/>
      <c r="I733" s="1"/>
      <c r="J733" s="1"/>
      <c r="K733" s="1"/>
    </row>
    <row r="734" spans="1:11" ht="13.2" x14ac:dyDescent="0.25">
      <c r="A734" s="1"/>
      <c r="B734" s="1"/>
      <c r="C734" s="1"/>
      <c r="D734" s="1"/>
      <c r="E734" s="1"/>
      <c r="F734" s="1"/>
      <c r="G734" s="18"/>
      <c r="H734" s="1"/>
      <c r="I734" s="1"/>
      <c r="J734" s="1"/>
      <c r="K734" s="1"/>
    </row>
    <row r="735" spans="1:11" ht="13.2" x14ac:dyDescent="0.25">
      <c r="A735" s="1"/>
      <c r="B735" s="1"/>
      <c r="C735" s="1"/>
      <c r="D735" s="1"/>
      <c r="E735" s="1"/>
      <c r="F735" s="1"/>
      <c r="G735" s="18"/>
      <c r="H735" s="1"/>
      <c r="I735" s="1"/>
      <c r="J735" s="1"/>
      <c r="K735" s="1"/>
    </row>
    <row r="736" spans="1:11" ht="13.2" x14ac:dyDescent="0.25">
      <c r="A736" s="1"/>
      <c r="B736" s="1"/>
      <c r="C736" s="1"/>
      <c r="D736" s="1"/>
      <c r="E736" s="1"/>
      <c r="F736" s="1"/>
      <c r="G736" s="18"/>
      <c r="H736" s="1"/>
      <c r="I736" s="1"/>
      <c r="J736" s="1"/>
      <c r="K736" s="1"/>
    </row>
    <row r="737" spans="1:11" ht="13.2" x14ac:dyDescent="0.25">
      <c r="A737" s="1"/>
      <c r="B737" s="1"/>
      <c r="C737" s="1"/>
      <c r="D737" s="1"/>
      <c r="E737" s="1"/>
      <c r="F737" s="1"/>
      <c r="G737" s="18"/>
      <c r="H737" s="1"/>
      <c r="I737" s="1"/>
      <c r="J737" s="1"/>
      <c r="K737" s="1"/>
    </row>
    <row r="738" spans="1:11" ht="13.2" x14ac:dyDescent="0.25">
      <c r="A738" s="1"/>
      <c r="B738" s="1"/>
      <c r="C738" s="1"/>
      <c r="D738" s="1"/>
      <c r="E738" s="1"/>
      <c r="F738" s="1"/>
      <c r="G738" s="18"/>
      <c r="H738" s="1"/>
      <c r="I738" s="1"/>
      <c r="J738" s="1"/>
      <c r="K738" s="1"/>
    </row>
    <row r="739" spans="1:11" ht="13.2" x14ac:dyDescent="0.25">
      <c r="A739" s="1"/>
      <c r="B739" s="1"/>
      <c r="C739" s="1"/>
      <c r="D739" s="1"/>
      <c r="E739" s="1"/>
      <c r="F739" s="1"/>
      <c r="G739" s="18"/>
      <c r="H739" s="1"/>
      <c r="I739" s="1"/>
      <c r="J739" s="1"/>
      <c r="K739" s="1"/>
    </row>
    <row r="740" spans="1:11" ht="13.2" x14ac:dyDescent="0.25">
      <c r="A740" s="1"/>
      <c r="B740" s="1"/>
      <c r="C740" s="1"/>
      <c r="D740" s="1"/>
      <c r="E740" s="1"/>
      <c r="F740" s="1"/>
      <c r="G740" s="18"/>
      <c r="H740" s="1"/>
      <c r="I740" s="1"/>
      <c r="J740" s="1"/>
      <c r="K740" s="1"/>
    </row>
    <row r="741" spans="1:11" ht="13.2" x14ac:dyDescent="0.25">
      <c r="A741" s="1"/>
      <c r="B741" s="1"/>
      <c r="C741" s="1"/>
      <c r="D741" s="1"/>
      <c r="E741" s="1"/>
      <c r="F741" s="1"/>
      <c r="G741" s="18"/>
      <c r="H741" s="1"/>
      <c r="I741" s="1"/>
      <c r="J741" s="1"/>
      <c r="K741" s="1"/>
    </row>
    <row r="742" spans="1:11" ht="13.2" x14ac:dyDescent="0.25">
      <c r="A742" s="1"/>
      <c r="B742" s="1"/>
      <c r="C742" s="1"/>
      <c r="D742" s="1"/>
      <c r="E742" s="1"/>
      <c r="F742" s="1"/>
      <c r="G742" s="18"/>
      <c r="H742" s="1"/>
      <c r="I742" s="1"/>
      <c r="J742" s="1"/>
      <c r="K742" s="1"/>
    </row>
    <row r="743" spans="1:11" ht="13.2" x14ac:dyDescent="0.25">
      <c r="A743" s="1"/>
      <c r="B743" s="1"/>
      <c r="C743" s="1"/>
      <c r="D743" s="1"/>
      <c r="E743" s="1"/>
      <c r="F743" s="1"/>
      <c r="G743" s="18"/>
      <c r="H743" s="1"/>
      <c r="I743" s="1"/>
      <c r="J743" s="1"/>
      <c r="K743" s="1"/>
    </row>
    <row r="744" spans="1:11" ht="13.2" x14ac:dyDescent="0.25">
      <c r="A744" s="1"/>
      <c r="B744" s="1"/>
      <c r="C744" s="1"/>
      <c r="D744" s="1"/>
      <c r="E744" s="1"/>
      <c r="F744" s="1"/>
      <c r="G744" s="18"/>
      <c r="H744" s="1"/>
      <c r="I744" s="1"/>
      <c r="J744" s="1"/>
      <c r="K744" s="1"/>
    </row>
    <row r="745" spans="1:11" ht="13.2" x14ac:dyDescent="0.25">
      <c r="A745" s="1"/>
      <c r="B745" s="1"/>
      <c r="C745" s="1"/>
      <c r="D745" s="1"/>
      <c r="E745" s="1"/>
      <c r="F745" s="1"/>
      <c r="G745" s="18"/>
      <c r="H745" s="1"/>
      <c r="I745" s="1"/>
      <c r="J745" s="1"/>
      <c r="K745" s="1"/>
    </row>
    <row r="746" spans="1:11" ht="13.2" x14ac:dyDescent="0.25">
      <c r="A746" s="1"/>
      <c r="B746" s="1"/>
      <c r="C746" s="1"/>
      <c r="D746" s="1"/>
      <c r="E746" s="1"/>
      <c r="F746" s="1"/>
      <c r="G746" s="18"/>
      <c r="H746" s="1"/>
      <c r="I746" s="1"/>
      <c r="J746" s="1"/>
      <c r="K746" s="1"/>
    </row>
    <row r="747" spans="1:11" ht="13.2" x14ac:dyDescent="0.25">
      <c r="A747" s="1"/>
      <c r="B747" s="1"/>
      <c r="C747" s="1"/>
      <c r="D747" s="1"/>
      <c r="E747" s="1"/>
      <c r="F747" s="1"/>
      <c r="G747" s="18"/>
      <c r="H747" s="1"/>
      <c r="I747" s="1"/>
      <c r="J747" s="1"/>
      <c r="K747" s="1"/>
    </row>
    <row r="748" spans="1:11" ht="13.2" x14ac:dyDescent="0.25">
      <c r="A748" s="1"/>
      <c r="B748" s="1"/>
      <c r="C748" s="1"/>
      <c r="D748" s="1"/>
      <c r="E748" s="1"/>
      <c r="F748" s="1"/>
      <c r="G748" s="18"/>
      <c r="H748" s="1"/>
      <c r="I748" s="1"/>
      <c r="J748" s="1"/>
      <c r="K748" s="1"/>
    </row>
    <row r="749" spans="1:11" ht="13.2" x14ac:dyDescent="0.25">
      <c r="A749" s="1"/>
      <c r="B749" s="1"/>
      <c r="C749" s="1"/>
      <c r="D749" s="1"/>
      <c r="E749" s="1"/>
      <c r="F749" s="1"/>
      <c r="G749" s="18"/>
      <c r="H749" s="1"/>
      <c r="I749" s="1"/>
      <c r="J749" s="1"/>
      <c r="K749" s="1"/>
    </row>
    <row r="750" spans="1:11" ht="13.2" x14ac:dyDescent="0.25">
      <c r="A750" s="1"/>
      <c r="B750" s="1"/>
      <c r="C750" s="1"/>
      <c r="D750" s="1"/>
      <c r="E750" s="1"/>
      <c r="F750" s="1"/>
      <c r="G750" s="18"/>
      <c r="H750" s="1"/>
      <c r="I750" s="1"/>
      <c r="J750" s="1"/>
      <c r="K750" s="1"/>
    </row>
    <row r="751" spans="1:11" ht="13.2" x14ac:dyDescent="0.25">
      <c r="A751" s="1"/>
      <c r="B751" s="1"/>
      <c r="C751" s="1"/>
      <c r="D751" s="1"/>
      <c r="E751" s="1"/>
      <c r="F751" s="1"/>
      <c r="G751" s="18"/>
      <c r="H751" s="1"/>
      <c r="I751" s="1"/>
      <c r="J751" s="1"/>
      <c r="K751" s="1"/>
    </row>
    <row r="752" spans="1:11" ht="13.2" x14ac:dyDescent="0.25">
      <c r="A752" s="1"/>
      <c r="B752" s="1"/>
      <c r="C752" s="1"/>
      <c r="D752" s="1"/>
      <c r="E752" s="1"/>
      <c r="F752" s="1"/>
      <c r="G752" s="18"/>
      <c r="H752" s="1"/>
      <c r="I752" s="1"/>
      <c r="J752" s="1"/>
      <c r="K752" s="1"/>
    </row>
    <row r="753" spans="1:11" ht="13.2" x14ac:dyDescent="0.25">
      <c r="A753" s="1"/>
      <c r="B753" s="1"/>
      <c r="C753" s="1"/>
      <c r="D753" s="1"/>
      <c r="E753" s="1"/>
      <c r="F753" s="1"/>
      <c r="G753" s="18"/>
      <c r="H753" s="1"/>
      <c r="I753" s="1"/>
      <c r="J753" s="1"/>
      <c r="K753" s="1"/>
    </row>
    <row r="754" spans="1:11" ht="13.2" x14ac:dyDescent="0.25">
      <c r="A754" s="1"/>
      <c r="B754" s="1"/>
      <c r="C754" s="1"/>
      <c r="D754" s="1"/>
      <c r="E754" s="1"/>
      <c r="F754" s="1"/>
      <c r="G754" s="18"/>
      <c r="H754" s="1"/>
      <c r="I754" s="1"/>
      <c r="J754" s="1"/>
      <c r="K754" s="1"/>
    </row>
    <row r="755" spans="1:11" ht="13.2" x14ac:dyDescent="0.25">
      <c r="A755" s="1"/>
      <c r="B755" s="1"/>
      <c r="C755" s="1"/>
      <c r="D755" s="1"/>
      <c r="E755" s="1"/>
      <c r="F755" s="1"/>
      <c r="G755" s="18"/>
      <c r="H755" s="1"/>
      <c r="I755" s="1"/>
      <c r="J755" s="1"/>
      <c r="K755" s="1"/>
    </row>
    <row r="756" spans="1:11" ht="13.2" x14ac:dyDescent="0.25">
      <c r="A756" s="1"/>
      <c r="B756" s="1"/>
      <c r="C756" s="1"/>
      <c r="D756" s="1"/>
      <c r="E756" s="1"/>
      <c r="F756" s="1"/>
      <c r="G756" s="18"/>
      <c r="H756" s="1"/>
      <c r="I756" s="1"/>
      <c r="J756" s="1"/>
      <c r="K756" s="1"/>
    </row>
    <row r="757" spans="1:11" ht="13.2" x14ac:dyDescent="0.25">
      <c r="A757" s="1"/>
      <c r="B757" s="1"/>
      <c r="C757" s="1"/>
      <c r="D757" s="1"/>
      <c r="E757" s="1"/>
      <c r="F757" s="1"/>
      <c r="G757" s="18"/>
      <c r="H757" s="1"/>
      <c r="I757" s="1"/>
      <c r="J757" s="1"/>
      <c r="K757" s="1"/>
    </row>
    <row r="758" spans="1:11" ht="13.2" x14ac:dyDescent="0.25">
      <c r="A758" s="1"/>
      <c r="B758" s="1"/>
      <c r="C758" s="1"/>
      <c r="D758" s="1"/>
      <c r="E758" s="1"/>
      <c r="F758" s="1"/>
      <c r="G758" s="18"/>
      <c r="H758" s="1"/>
      <c r="I758" s="1"/>
      <c r="J758" s="1"/>
      <c r="K758" s="1"/>
    </row>
    <row r="759" spans="1:11" ht="13.2" x14ac:dyDescent="0.25">
      <c r="A759" s="1"/>
      <c r="B759" s="1"/>
      <c r="C759" s="1"/>
      <c r="D759" s="1"/>
      <c r="E759" s="1"/>
      <c r="F759" s="1"/>
      <c r="G759" s="18"/>
      <c r="H759" s="1"/>
      <c r="I759" s="1"/>
      <c r="J759" s="1"/>
      <c r="K759" s="1"/>
    </row>
    <row r="760" spans="1:11" ht="13.2" x14ac:dyDescent="0.25">
      <c r="A760" s="1"/>
      <c r="B760" s="1"/>
      <c r="C760" s="1"/>
      <c r="D760" s="1"/>
      <c r="E760" s="1"/>
      <c r="F760" s="1"/>
      <c r="G760" s="18"/>
      <c r="H760" s="1"/>
      <c r="I760" s="1"/>
      <c r="J760" s="1"/>
      <c r="K760" s="1"/>
    </row>
    <row r="761" spans="1:11" ht="13.2" x14ac:dyDescent="0.25">
      <c r="A761" s="1"/>
      <c r="B761" s="1"/>
      <c r="C761" s="1"/>
      <c r="D761" s="1"/>
      <c r="E761" s="1"/>
      <c r="F761" s="1"/>
      <c r="G761" s="18"/>
      <c r="H761" s="1"/>
      <c r="I761" s="1"/>
      <c r="J761" s="1"/>
      <c r="K761" s="1"/>
    </row>
    <row r="762" spans="1:11" ht="13.2" x14ac:dyDescent="0.25">
      <c r="A762" s="1"/>
      <c r="B762" s="1"/>
      <c r="C762" s="1"/>
      <c r="D762" s="1"/>
      <c r="E762" s="1"/>
      <c r="F762" s="1"/>
      <c r="G762" s="18"/>
      <c r="H762" s="1"/>
      <c r="I762" s="1"/>
      <c r="J762" s="1"/>
      <c r="K762" s="1"/>
    </row>
    <row r="763" spans="1:11" ht="13.2" x14ac:dyDescent="0.25">
      <c r="A763" s="1"/>
      <c r="B763" s="1"/>
      <c r="C763" s="1"/>
      <c r="D763" s="1"/>
      <c r="E763" s="1"/>
      <c r="F763" s="1"/>
      <c r="G763" s="18"/>
      <c r="H763" s="1"/>
      <c r="I763" s="1"/>
      <c r="J763" s="1"/>
      <c r="K763" s="1"/>
    </row>
    <row r="764" spans="1:11" ht="13.2" x14ac:dyDescent="0.25">
      <c r="A764" s="1"/>
      <c r="B764" s="1"/>
      <c r="C764" s="1"/>
      <c r="D764" s="1"/>
      <c r="E764" s="1"/>
      <c r="F764" s="1"/>
      <c r="G764" s="18"/>
      <c r="H764" s="1"/>
      <c r="I764" s="1"/>
      <c r="J764" s="1"/>
      <c r="K764" s="1"/>
    </row>
    <row r="765" spans="1:11" ht="13.2" x14ac:dyDescent="0.25">
      <c r="A765" s="1"/>
      <c r="B765" s="1"/>
      <c r="C765" s="1"/>
      <c r="D765" s="1"/>
      <c r="E765" s="1"/>
      <c r="F765" s="1"/>
      <c r="G765" s="18"/>
      <c r="H765" s="1"/>
      <c r="I765" s="1"/>
      <c r="J765" s="1"/>
      <c r="K765" s="1"/>
    </row>
    <row r="766" spans="1:11" ht="13.2" x14ac:dyDescent="0.25">
      <c r="A766" s="1"/>
      <c r="B766" s="1"/>
      <c r="C766" s="1"/>
      <c r="D766" s="1"/>
      <c r="E766" s="1"/>
      <c r="F766" s="1"/>
      <c r="G766" s="18"/>
      <c r="H766" s="1"/>
      <c r="I766" s="1"/>
      <c r="J766" s="1"/>
      <c r="K766" s="1"/>
    </row>
    <row r="767" spans="1:11" ht="13.2" x14ac:dyDescent="0.25">
      <c r="A767" s="1"/>
      <c r="B767" s="1"/>
      <c r="C767" s="1"/>
      <c r="D767" s="1"/>
      <c r="E767" s="1"/>
      <c r="F767" s="1"/>
      <c r="G767" s="18"/>
      <c r="H767" s="1"/>
      <c r="I767" s="1"/>
      <c r="J767" s="1"/>
      <c r="K767" s="1"/>
    </row>
    <row r="768" spans="1:11" ht="13.2" x14ac:dyDescent="0.25">
      <c r="A768" s="1"/>
      <c r="B768" s="1"/>
      <c r="C768" s="1"/>
      <c r="D768" s="1"/>
      <c r="E768" s="1"/>
      <c r="F768" s="1"/>
      <c r="G768" s="18"/>
      <c r="H768" s="1"/>
      <c r="I768" s="1"/>
      <c r="J768" s="1"/>
      <c r="K768" s="1"/>
    </row>
    <row r="769" spans="1:11" ht="13.2" x14ac:dyDescent="0.25">
      <c r="A769" s="1"/>
      <c r="B769" s="1"/>
      <c r="C769" s="1"/>
      <c r="D769" s="1"/>
      <c r="E769" s="1"/>
      <c r="F769" s="1"/>
      <c r="G769" s="18"/>
      <c r="H769" s="1"/>
      <c r="I769" s="1"/>
      <c r="J769" s="1"/>
      <c r="K769" s="1"/>
    </row>
    <row r="770" spans="1:11" ht="13.2" x14ac:dyDescent="0.25">
      <c r="A770" s="1"/>
      <c r="B770" s="1"/>
      <c r="C770" s="1"/>
      <c r="D770" s="1"/>
      <c r="E770" s="1"/>
      <c r="F770" s="1"/>
      <c r="G770" s="18"/>
      <c r="H770" s="1"/>
      <c r="I770" s="1"/>
      <c r="J770" s="1"/>
      <c r="K770" s="1"/>
    </row>
    <row r="771" spans="1:11" ht="13.2" x14ac:dyDescent="0.25">
      <c r="A771" s="1"/>
      <c r="B771" s="1"/>
      <c r="C771" s="1"/>
      <c r="D771" s="1"/>
      <c r="E771" s="1"/>
      <c r="F771" s="1"/>
      <c r="G771" s="18"/>
      <c r="H771" s="1"/>
      <c r="I771" s="1"/>
      <c r="J771" s="1"/>
      <c r="K771" s="1"/>
    </row>
    <row r="772" spans="1:11" ht="13.2" x14ac:dyDescent="0.25">
      <c r="A772" s="1"/>
      <c r="B772" s="1"/>
      <c r="C772" s="1"/>
      <c r="D772" s="1"/>
      <c r="E772" s="1"/>
      <c r="F772" s="1"/>
      <c r="G772" s="18"/>
      <c r="H772" s="1"/>
      <c r="I772" s="1"/>
      <c r="J772" s="1"/>
      <c r="K772" s="1"/>
    </row>
    <row r="773" spans="1:11" ht="13.2" x14ac:dyDescent="0.25">
      <c r="A773" s="1"/>
      <c r="B773" s="1"/>
      <c r="C773" s="1"/>
      <c r="D773" s="1"/>
      <c r="E773" s="1"/>
      <c r="F773" s="1"/>
      <c r="G773" s="18"/>
      <c r="H773" s="1"/>
      <c r="I773" s="1"/>
      <c r="J773" s="1"/>
      <c r="K773" s="1"/>
    </row>
    <row r="774" spans="1:11" ht="13.2" x14ac:dyDescent="0.25">
      <c r="A774" s="1"/>
      <c r="B774" s="1"/>
      <c r="C774" s="1"/>
      <c r="D774" s="1"/>
      <c r="E774" s="1"/>
      <c r="F774" s="1"/>
      <c r="G774" s="18"/>
      <c r="H774" s="1"/>
      <c r="I774" s="1"/>
      <c r="J774" s="1"/>
      <c r="K774" s="1"/>
    </row>
    <row r="775" spans="1:11" ht="13.2" x14ac:dyDescent="0.25">
      <c r="A775" s="1"/>
      <c r="B775" s="1"/>
      <c r="C775" s="1"/>
      <c r="D775" s="1"/>
      <c r="E775" s="1"/>
      <c r="F775" s="1"/>
      <c r="G775" s="18"/>
      <c r="H775" s="1"/>
      <c r="I775" s="1"/>
      <c r="J775" s="1"/>
      <c r="K775" s="1"/>
    </row>
    <row r="776" spans="1:11" ht="13.2" x14ac:dyDescent="0.25">
      <c r="A776" s="1"/>
      <c r="B776" s="1"/>
      <c r="C776" s="1"/>
      <c r="D776" s="1"/>
      <c r="E776" s="1"/>
      <c r="F776" s="1"/>
      <c r="G776" s="18"/>
      <c r="H776" s="1"/>
      <c r="I776" s="1"/>
      <c r="J776" s="1"/>
      <c r="K776" s="1"/>
    </row>
    <row r="777" spans="1:11" ht="13.2" x14ac:dyDescent="0.25">
      <c r="A777" s="1"/>
      <c r="B777" s="1"/>
      <c r="C777" s="1"/>
      <c r="D777" s="1"/>
      <c r="E777" s="1"/>
      <c r="F777" s="1"/>
      <c r="G777" s="18"/>
      <c r="H777" s="1"/>
      <c r="I777" s="1"/>
      <c r="J777" s="1"/>
      <c r="K777" s="1"/>
    </row>
    <row r="778" spans="1:11" ht="13.2" x14ac:dyDescent="0.25">
      <c r="A778" s="1"/>
      <c r="B778" s="1"/>
      <c r="C778" s="1"/>
      <c r="D778" s="1"/>
      <c r="E778" s="1"/>
      <c r="F778" s="1"/>
      <c r="G778" s="18"/>
      <c r="H778" s="1"/>
      <c r="I778" s="1"/>
      <c r="J778" s="1"/>
      <c r="K778" s="1"/>
    </row>
    <row r="779" spans="1:11" ht="13.2" x14ac:dyDescent="0.25">
      <c r="A779" s="1"/>
      <c r="B779" s="1"/>
      <c r="C779" s="1"/>
      <c r="D779" s="1"/>
      <c r="E779" s="1"/>
      <c r="F779" s="1"/>
      <c r="G779" s="18"/>
      <c r="H779" s="1"/>
      <c r="I779" s="1"/>
      <c r="J779" s="1"/>
      <c r="K779" s="1"/>
    </row>
    <row r="780" spans="1:11" ht="13.2" x14ac:dyDescent="0.25">
      <c r="A780" s="1"/>
      <c r="B780" s="1"/>
      <c r="C780" s="1"/>
      <c r="D780" s="1"/>
      <c r="E780" s="1"/>
      <c r="F780" s="1"/>
      <c r="G780" s="18"/>
      <c r="H780" s="1"/>
      <c r="I780" s="1"/>
      <c r="J780" s="1"/>
      <c r="K780" s="1"/>
    </row>
    <row r="781" spans="1:11" ht="13.2" x14ac:dyDescent="0.25">
      <c r="A781" s="1"/>
      <c r="B781" s="1"/>
      <c r="C781" s="1"/>
      <c r="D781" s="1"/>
      <c r="E781" s="1"/>
      <c r="F781" s="1"/>
      <c r="G781" s="18"/>
      <c r="H781" s="1"/>
      <c r="I781" s="1"/>
      <c r="J781" s="1"/>
      <c r="K781" s="1"/>
    </row>
    <row r="782" spans="1:11" ht="13.2" x14ac:dyDescent="0.25">
      <c r="A782" s="1"/>
      <c r="B782" s="1"/>
      <c r="C782" s="1"/>
      <c r="D782" s="1"/>
      <c r="E782" s="1"/>
      <c r="F782" s="1"/>
      <c r="G782" s="18"/>
      <c r="H782" s="1"/>
      <c r="I782" s="1"/>
      <c r="J782" s="1"/>
      <c r="K782" s="1"/>
    </row>
    <row r="783" spans="1:11" ht="13.2" x14ac:dyDescent="0.25">
      <c r="A783" s="1"/>
      <c r="B783" s="1"/>
      <c r="C783" s="1"/>
      <c r="D783" s="1"/>
      <c r="E783" s="1"/>
      <c r="F783" s="1"/>
      <c r="G783" s="18"/>
      <c r="H783" s="1"/>
      <c r="I783" s="1"/>
      <c r="J783" s="1"/>
      <c r="K783" s="1"/>
    </row>
    <row r="784" spans="1:11" ht="13.2" x14ac:dyDescent="0.25">
      <c r="A784" s="1"/>
      <c r="B784" s="1"/>
      <c r="C784" s="1"/>
      <c r="D784" s="1"/>
      <c r="E784" s="1"/>
      <c r="F784" s="1"/>
      <c r="G784" s="18"/>
      <c r="H784" s="1"/>
      <c r="I784" s="1"/>
      <c r="J784" s="1"/>
      <c r="K784" s="1"/>
    </row>
    <row r="785" spans="1:11" ht="13.2" x14ac:dyDescent="0.25">
      <c r="A785" s="1"/>
      <c r="B785" s="1"/>
      <c r="C785" s="1"/>
      <c r="D785" s="1"/>
      <c r="E785" s="1"/>
      <c r="F785" s="1"/>
      <c r="G785" s="18"/>
      <c r="H785" s="1"/>
      <c r="I785" s="1"/>
      <c r="J785" s="1"/>
      <c r="K785" s="1"/>
    </row>
    <row r="786" spans="1:11" ht="13.2" x14ac:dyDescent="0.25">
      <c r="A786" s="1"/>
      <c r="B786" s="1"/>
      <c r="C786" s="1"/>
      <c r="D786" s="1"/>
      <c r="E786" s="1"/>
      <c r="F786" s="1"/>
      <c r="G786" s="18"/>
      <c r="H786" s="1"/>
      <c r="I786" s="1"/>
      <c r="J786" s="1"/>
      <c r="K786" s="1"/>
    </row>
    <row r="787" spans="1:11" ht="13.2" x14ac:dyDescent="0.25">
      <c r="A787" s="1"/>
      <c r="B787" s="1"/>
      <c r="C787" s="1"/>
      <c r="D787" s="1"/>
      <c r="E787" s="1"/>
      <c r="F787" s="1"/>
      <c r="G787" s="18"/>
      <c r="H787" s="1"/>
      <c r="I787" s="1"/>
      <c r="J787" s="1"/>
      <c r="K787" s="1"/>
    </row>
    <row r="788" spans="1:11" ht="13.2" x14ac:dyDescent="0.25">
      <c r="A788" s="1"/>
      <c r="B788" s="1"/>
      <c r="C788" s="1"/>
      <c r="D788" s="1"/>
      <c r="E788" s="1"/>
      <c r="F788" s="1"/>
      <c r="G788" s="18"/>
      <c r="H788" s="1"/>
      <c r="I788" s="1"/>
      <c r="J788" s="1"/>
      <c r="K788" s="1"/>
    </row>
    <row r="789" spans="1:11" ht="13.2" x14ac:dyDescent="0.25">
      <c r="A789" s="1"/>
      <c r="B789" s="1"/>
      <c r="C789" s="1"/>
      <c r="D789" s="1"/>
      <c r="E789" s="1"/>
      <c r="F789" s="1"/>
      <c r="G789" s="18"/>
      <c r="H789" s="1"/>
      <c r="I789" s="1"/>
      <c r="J789" s="1"/>
      <c r="K789" s="1"/>
    </row>
    <row r="790" spans="1:11" ht="13.2" x14ac:dyDescent="0.25">
      <c r="A790" s="1"/>
      <c r="B790" s="1"/>
      <c r="C790" s="1"/>
      <c r="D790" s="1"/>
      <c r="E790" s="1"/>
      <c r="F790" s="1"/>
      <c r="G790" s="18"/>
      <c r="H790" s="1"/>
      <c r="I790" s="1"/>
      <c r="J790" s="1"/>
      <c r="K790" s="1"/>
    </row>
    <row r="791" spans="1:11" ht="13.2" x14ac:dyDescent="0.25">
      <c r="A791" s="1"/>
      <c r="B791" s="1"/>
      <c r="C791" s="1"/>
      <c r="D791" s="1"/>
      <c r="E791" s="1"/>
      <c r="F791" s="1"/>
      <c r="G791" s="18"/>
      <c r="H791" s="1"/>
      <c r="I791" s="1"/>
      <c r="J791" s="1"/>
      <c r="K791" s="1"/>
    </row>
    <row r="792" spans="1:11" ht="13.2" x14ac:dyDescent="0.25">
      <c r="A792" s="1"/>
      <c r="B792" s="1"/>
      <c r="C792" s="1"/>
      <c r="D792" s="1"/>
      <c r="E792" s="1"/>
      <c r="F792" s="1"/>
      <c r="G792" s="18"/>
      <c r="H792" s="1"/>
      <c r="I792" s="1"/>
      <c r="J792" s="1"/>
      <c r="K792" s="1"/>
    </row>
    <row r="793" spans="1:11" ht="13.2" x14ac:dyDescent="0.25">
      <c r="A793" s="1"/>
      <c r="B793" s="1"/>
      <c r="C793" s="1"/>
      <c r="D793" s="1"/>
      <c r="E793" s="1"/>
      <c r="F793" s="1"/>
      <c r="G793" s="18"/>
      <c r="H793" s="1"/>
      <c r="I793" s="1"/>
      <c r="J793" s="1"/>
      <c r="K793" s="1"/>
    </row>
    <row r="794" spans="1:11" ht="13.2" x14ac:dyDescent="0.25">
      <c r="A794" s="1"/>
      <c r="B794" s="1"/>
      <c r="C794" s="1"/>
      <c r="D794" s="1"/>
      <c r="E794" s="1"/>
      <c r="F794" s="1"/>
      <c r="G794" s="18"/>
      <c r="H794" s="1"/>
      <c r="I794" s="1"/>
      <c r="J794" s="1"/>
      <c r="K794" s="1"/>
    </row>
    <row r="795" spans="1:11" ht="13.2" x14ac:dyDescent="0.25">
      <c r="A795" s="1"/>
      <c r="B795" s="1"/>
      <c r="C795" s="1"/>
      <c r="D795" s="1"/>
      <c r="E795" s="1"/>
      <c r="F795" s="1"/>
      <c r="G795" s="18"/>
      <c r="H795" s="1"/>
      <c r="I795" s="1"/>
      <c r="J795" s="1"/>
      <c r="K795" s="1"/>
    </row>
    <row r="796" spans="1:11" ht="13.2" x14ac:dyDescent="0.25">
      <c r="A796" s="1"/>
      <c r="B796" s="1"/>
      <c r="C796" s="1"/>
      <c r="D796" s="1"/>
      <c r="E796" s="1"/>
      <c r="F796" s="1"/>
      <c r="G796" s="18"/>
      <c r="H796" s="1"/>
      <c r="I796" s="1"/>
      <c r="J796" s="1"/>
      <c r="K796" s="1"/>
    </row>
    <row r="797" spans="1:11" ht="13.2" x14ac:dyDescent="0.25">
      <c r="A797" s="1"/>
      <c r="B797" s="1"/>
      <c r="C797" s="1"/>
      <c r="D797" s="1"/>
      <c r="E797" s="1"/>
      <c r="F797" s="1"/>
      <c r="G797" s="18"/>
      <c r="H797" s="1"/>
      <c r="I797" s="1"/>
      <c r="J797" s="1"/>
      <c r="K797" s="1"/>
    </row>
    <row r="798" spans="1:11" ht="13.2" x14ac:dyDescent="0.25">
      <c r="A798" s="1"/>
      <c r="B798" s="1"/>
      <c r="C798" s="1"/>
      <c r="D798" s="1"/>
      <c r="E798" s="1"/>
      <c r="F798" s="1"/>
      <c r="G798" s="18"/>
      <c r="H798" s="1"/>
      <c r="I798" s="1"/>
      <c r="J798" s="1"/>
      <c r="K798" s="1"/>
    </row>
    <row r="799" spans="1:11" ht="13.2" x14ac:dyDescent="0.25">
      <c r="A799" s="1"/>
      <c r="B799" s="1"/>
      <c r="C799" s="1"/>
      <c r="D799" s="1"/>
      <c r="E799" s="1"/>
      <c r="F799" s="1"/>
      <c r="G799" s="18"/>
      <c r="H799" s="1"/>
      <c r="I799" s="1"/>
      <c r="J799" s="1"/>
      <c r="K799" s="1"/>
    </row>
    <row r="800" spans="1:11" ht="13.2" x14ac:dyDescent="0.25">
      <c r="A800" s="1"/>
      <c r="B800" s="1"/>
      <c r="C800" s="1"/>
      <c r="D800" s="1"/>
      <c r="E800" s="1"/>
      <c r="F800" s="1"/>
      <c r="G800" s="18"/>
      <c r="H800" s="1"/>
      <c r="I800" s="1"/>
      <c r="J800" s="1"/>
      <c r="K800" s="1"/>
    </row>
    <row r="801" spans="1:11" ht="13.2" x14ac:dyDescent="0.25">
      <c r="A801" s="1"/>
      <c r="B801" s="1"/>
      <c r="C801" s="1"/>
      <c r="D801" s="1"/>
      <c r="E801" s="1"/>
      <c r="F801" s="1"/>
      <c r="G801" s="18"/>
      <c r="H801" s="1"/>
      <c r="I801" s="1"/>
      <c r="J801" s="1"/>
      <c r="K801" s="1"/>
    </row>
    <row r="802" spans="1:11" ht="13.2" x14ac:dyDescent="0.25">
      <c r="A802" s="1"/>
      <c r="B802" s="1"/>
      <c r="C802" s="1"/>
      <c r="D802" s="1"/>
      <c r="E802" s="1"/>
      <c r="F802" s="1"/>
      <c r="G802" s="18"/>
      <c r="H802" s="1"/>
      <c r="I802" s="1"/>
      <c r="J802" s="1"/>
      <c r="K802" s="1"/>
    </row>
    <row r="803" spans="1:11" ht="13.2" x14ac:dyDescent="0.25">
      <c r="A803" s="1"/>
      <c r="B803" s="1"/>
      <c r="C803" s="1"/>
      <c r="D803" s="1"/>
      <c r="E803" s="1"/>
      <c r="F803" s="1"/>
      <c r="G803" s="18"/>
      <c r="H803" s="1"/>
      <c r="I803" s="1"/>
      <c r="J803" s="1"/>
      <c r="K803" s="1"/>
    </row>
    <row r="804" spans="1:11" ht="13.2" x14ac:dyDescent="0.25">
      <c r="A804" s="1"/>
      <c r="B804" s="1"/>
      <c r="C804" s="1"/>
      <c r="D804" s="1"/>
      <c r="E804" s="1"/>
      <c r="F804" s="1"/>
      <c r="G804" s="18"/>
      <c r="H804" s="1"/>
      <c r="I804" s="1"/>
      <c r="J804" s="1"/>
      <c r="K804" s="1"/>
    </row>
    <row r="805" spans="1:11" ht="13.2" x14ac:dyDescent="0.25">
      <c r="A805" s="1"/>
      <c r="B805" s="1"/>
      <c r="C805" s="1"/>
      <c r="D805" s="1"/>
      <c r="E805" s="1"/>
      <c r="F805" s="1"/>
      <c r="G805" s="18"/>
      <c r="H805" s="1"/>
      <c r="I805" s="1"/>
      <c r="J805" s="1"/>
      <c r="K805" s="1"/>
    </row>
    <row r="806" spans="1:11" ht="13.2" x14ac:dyDescent="0.25">
      <c r="A806" s="1"/>
      <c r="B806" s="1"/>
      <c r="C806" s="1"/>
      <c r="D806" s="1"/>
      <c r="E806" s="1"/>
      <c r="F806" s="1"/>
      <c r="G806" s="18"/>
      <c r="H806" s="1"/>
      <c r="I806" s="1"/>
      <c r="J806" s="1"/>
      <c r="K806" s="1"/>
    </row>
    <row r="807" spans="1:11" ht="13.2" x14ac:dyDescent="0.25">
      <c r="A807" s="1"/>
      <c r="B807" s="1"/>
      <c r="C807" s="1"/>
      <c r="D807" s="1"/>
      <c r="E807" s="1"/>
      <c r="F807" s="1"/>
      <c r="G807" s="18"/>
      <c r="H807" s="1"/>
      <c r="I807" s="1"/>
      <c r="J807" s="1"/>
      <c r="K807" s="1"/>
    </row>
    <row r="808" spans="1:11" ht="13.2" x14ac:dyDescent="0.25">
      <c r="A808" s="1"/>
      <c r="B808" s="1"/>
      <c r="C808" s="1"/>
      <c r="D808" s="1"/>
      <c r="E808" s="1"/>
      <c r="F808" s="1"/>
      <c r="G808" s="18"/>
      <c r="H808" s="1"/>
      <c r="I808" s="1"/>
      <c r="J808" s="1"/>
      <c r="K808" s="1"/>
    </row>
    <row r="809" spans="1:11" ht="13.2" x14ac:dyDescent="0.25">
      <c r="A809" s="1"/>
      <c r="B809" s="1"/>
      <c r="C809" s="1"/>
      <c r="D809" s="1"/>
      <c r="E809" s="1"/>
      <c r="F809" s="1"/>
      <c r="G809" s="18"/>
      <c r="H809" s="1"/>
      <c r="I809" s="1"/>
      <c r="J809" s="1"/>
      <c r="K809" s="1"/>
    </row>
    <row r="810" spans="1:11" ht="13.2" x14ac:dyDescent="0.25">
      <c r="A810" s="1"/>
      <c r="B810" s="1"/>
      <c r="C810" s="1"/>
      <c r="D810" s="1"/>
      <c r="E810" s="1"/>
      <c r="F810" s="1"/>
      <c r="G810" s="18"/>
      <c r="H810" s="1"/>
      <c r="I810" s="1"/>
      <c r="J810" s="1"/>
      <c r="K810" s="1"/>
    </row>
    <row r="811" spans="1:11" ht="13.2" x14ac:dyDescent="0.25">
      <c r="A811" s="1"/>
      <c r="B811" s="1"/>
      <c r="C811" s="1"/>
      <c r="D811" s="1"/>
      <c r="E811" s="1"/>
      <c r="F811" s="1"/>
      <c r="G811" s="18"/>
      <c r="H811" s="1"/>
      <c r="I811" s="1"/>
      <c r="J811" s="1"/>
      <c r="K811" s="1"/>
    </row>
    <row r="812" spans="1:11" ht="13.2" x14ac:dyDescent="0.25">
      <c r="A812" s="1"/>
      <c r="B812" s="1"/>
      <c r="C812" s="1"/>
      <c r="D812" s="1"/>
      <c r="E812" s="1"/>
      <c r="F812" s="1"/>
      <c r="G812" s="18"/>
      <c r="H812" s="1"/>
      <c r="I812" s="1"/>
      <c r="J812" s="1"/>
      <c r="K812" s="1"/>
    </row>
    <row r="813" spans="1:11" ht="13.2" x14ac:dyDescent="0.25">
      <c r="A813" s="1"/>
      <c r="B813" s="1"/>
      <c r="C813" s="1"/>
      <c r="D813" s="1"/>
      <c r="E813" s="1"/>
      <c r="F813" s="1"/>
      <c r="G813" s="18"/>
      <c r="H813" s="1"/>
      <c r="I813" s="1"/>
      <c r="J813" s="1"/>
      <c r="K813" s="1"/>
    </row>
    <row r="814" spans="1:11" ht="13.2" x14ac:dyDescent="0.25">
      <c r="A814" s="1"/>
      <c r="B814" s="1"/>
      <c r="C814" s="1"/>
      <c r="D814" s="1"/>
      <c r="E814" s="1"/>
      <c r="F814" s="1"/>
      <c r="G814" s="18"/>
      <c r="H814" s="1"/>
      <c r="I814" s="1"/>
      <c r="J814" s="1"/>
      <c r="K814" s="1"/>
    </row>
    <row r="815" spans="1:11" ht="13.2" x14ac:dyDescent="0.25">
      <c r="A815" s="1"/>
      <c r="B815" s="1"/>
      <c r="C815" s="1"/>
      <c r="D815" s="1"/>
      <c r="E815" s="1"/>
      <c r="F815" s="1"/>
      <c r="G815" s="18"/>
      <c r="H815" s="1"/>
      <c r="I815" s="1"/>
      <c r="J815" s="1"/>
      <c r="K815" s="1"/>
    </row>
    <row r="816" spans="1:11" ht="13.2" x14ac:dyDescent="0.25">
      <c r="A816" s="1"/>
      <c r="B816" s="1"/>
      <c r="C816" s="1"/>
      <c r="D816" s="1"/>
      <c r="E816" s="1"/>
      <c r="F816" s="1"/>
      <c r="G816" s="18"/>
      <c r="H816" s="1"/>
      <c r="I816" s="1"/>
      <c r="J816" s="1"/>
      <c r="K816" s="1"/>
    </row>
    <row r="817" spans="1:11" ht="13.2" x14ac:dyDescent="0.25">
      <c r="A817" s="1"/>
      <c r="B817" s="1"/>
      <c r="C817" s="1"/>
      <c r="D817" s="1"/>
      <c r="E817" s="1"/>
      <c r="F817" s="1"/>
      <c r="G817" s="18"/>
      <c r="H817" s="1"/>
      <c r="I817" s="1"/>
      <c r="J817" s="1"/>
      <c r="K817" s="1"/>
    </row>
    <row r="818" spans="1:11" ht="13.2" x14ac:dyDescent="0.25">
      <c r="A818" s="1"/>
      <c r="B818" s="1"/>
      <c r="C818" s="1"/>
      <c r="D818" s="1"/>
      <c r="E818" s="1"/>
      <c r="F818" s="1"/>
      <c r="G818" s="18"/>
      <c r="H818" s="1"/>
      <c r="I818" s="1"/>
      <c r="J818" s="1"/>
      <c r="K818" s="1"/>
    </row>
    <row r="819" spans="1:11" ht="13.2" x14ac:dyDescent="0.25">
      <c r="A819" s="1"/>
      <c r="B819" s="1"/>
      <c r="C819" s="1"/>
      <c r="D819" s="1"/>
      <c r="E819" s="1"/>
      <c r="F819" s="1"/>
      <c r="G819" s="18"/>
      <c r="H819" s="1"/>
      <c r="I819" s="1"/>
      <c r="J819" s="1"/>
      <c r="K819" s="1"/>
    </row>
    <row r="820" spans="1:11" ht="13.2" x14ac:dyDescent="0.25">
      <c r="A820" s="1"/>
      <c r="B820" s="1"/>
      <c r="C820" s="1"/>
      <c r="D820" s="1"/>
      <c r="E820" s="1"/>
      <c r="F820" s="1"/>
      <c r="G820" s="18"/>
      <c r="H820" s="1"/>
      <c r="I820" s="1"/>
      <c r="J820" s="1"/>
      <c r="K820" s="1"/>
    </row>
    <row r="821" spans="1:11" ht="13.2" x14ac:dyDescent="0.25">
      <c r="A821" s="1"/>
      <c r="B821" s="1"/>
      <c r="C821" s="1"/>
      <c r="D821" s="1"/>
      <c r="E821" s="1"/>
      <c r="F821" s="1"/>
      <c r="G821" s="18"/>
      <c r="H821" s="1"/>
      <c r="I821" s="1"/>
      <c r="J821" s="1"/>
      <c r="K821" s="1"/>
    </row>
    <row r="822" spans="1:11" ht="13.2" x14ac:dyDescent="0.25">
      <c r="A822" s="1"/>
      <c r="B822" s="1"/>
      <c r="C822" s="1"/>
      <c r="D822" s="1"/>
      <c r="E822" s="1"/>
      <c r="F822" s="1"/>
      <c r="G822" s="18"/>
      <c r="H822" s="1"/>
      <c r="I822" s="1"/>
      <c r="J822" s="1"/>
      <c r="K822" s="1"/>
    </row>
    <row r="823" spans="1:11" ht="13.2" x14ac:dyDescent="0.25">
      <c r="A823" s="1"/>
      <c r="B823" s="1"/>
      <c r="C823" s="1"/>
      <c r="D823" s="1"/>
      <c r="E823" s="1"/>
      <c r="F823" s="1"/>
      <c r="G823" s="18"/>
      <c r="H823" s="1"/>
      <c r="I823" s="1"/>
      <c r="J823" s="1"/>
      <c r="K823" s="1"/>
    </row>
    <row r="824" spans="1:11" ht="13.2" x14ac:dyDescent="0.25">
      <c r="A824" s="1"/>
      <c r="B824" s="1"/>
      <c r="C824" s="1"/>
      <c r="D824" s="1"/>
      <c r="E824" s="1"/>
      <c r="F824" s="1"/>
      <c r="G824" s="18"/>
      <c r="H824" s="1"/>
      <c r="I824" s="1"/>
      <c r="J824" s="1"/>
      <c r="K824" s="1"/>
    </row>
    <row r="825" spans="1:11" ht="13.2" x14ac:dyDescent="0.25">
      <c r="A825" s="1"/>
      <c r="B825" s="1"/>
      <c r="C825" s="1"/>
      <c r="D825" s="1"/>
      <c r="E825" s="1"/>
      <c r="F825" s="1"/>
      <c r="G825" s="18"/>
      <c r="H825" s="1"/>
      <c r="I825" s="1"/>
      <c r="J825" s="1"/>
      <c r="K825" s="1"/>
    </row>
    <row r="826" spans="1:11" ht="13.2" x14ac:dyDescent="0.25">
      <c r="A826" s="1"/>
      <c r="B826" s="1"/>
      <c r="C826" s="1"/>
      <c r="D826" s="1"/>
      <c r="E826" s="1"/>
      <c r="F826" s="1"/>
      <c r="G826" s="18"/>
      <c r="H826" s="1"/>
      <c r="I826" s="1"/>
      <c r="J826" s="1"/>
      <c r="K826" s="1"/>
    </row>
    <row r="827" spans="1:11" ht="13.2" x14ac:dyDescent="0.25">
      <c r="A827" s="1"/>
      <c r="B827" s="1"/>
      <c r="C827" s="1"/>
      <c r="D827" s="1"/>
      <c r="E827" s="1"/>
      <c r="F827" s="1"/>
      <c r="G827" s="18"/>
      <c r="H827" s="1"/>
      <c r="I827" s="1"/>
      <c r="J827" s="1"/>
      <c r="K827" s="1"/>
    </row>
    <row r="828" spans="1:11" ht="13.2" x14ac:dyDescent="0.25">
      <c r="A828" s="1"/>
      <c r="B828" s="1"/>
      <c r="C828" s="1"/>
      <c r="D828" s="1"/>
      <c r="E828" s="1"/>
      <c r="F828" s="1"/>
      <c r="G828" s="18"/>
      <c r="H828" s="1"/>
      <c r="I828" s="1"/>
      <c r="J828" s="1"/>
      <c r="K828" s="1"/>
    </row>
    <row r="829" spans="1:11" ht="13.2" x14ac:dyDescent="0.25">
      <c r="A829" s="1"/>
      <c r="B829" s="1"/>
      <c r="C829" s="1"/>
      <c r="D829" s="1"/>
      <c r="E829" s="1"/>
      <c r="F829" s="1"/>
      <c r="G829" s="18"/>
      <c r="H829" s="1"/>
      <c r="I829" s="1"/>
      <c r="J829" s="1"/>
      <c r="K829" s="1"/>
    </row>
    <row r="830" spans="1:11" ht="13.2" x14ac:dyDescent="0.25">
      <c r="A830" s="1"/>
      <c r="B830" s="1"/>
      <c r="C830" s="1"/>
      <c r="D830" s="1"/>
      <c r="E830" s="1"/>
      <c r="F830" s="1"/>
      <c r="G830" s="18"/>
      <c r="H830" s="1"/>
      <c r="I830" s="1"/>
      <c r="J830" s="1"/>
      <c r="K830" s="1"/>
    </row>
    <row r="831" spans="1:11" ht="13.2" x14ac:dyDescent="0.25">
      <c r="A831" s="1"/>
      <c r="B831" s="1"/>
      <c r="C831" s="1"/>
      <c r="D831" s="1"/>
      <c r="E831" s="1"/>
      <c r="F831" s="1"/>
      <c r="G831" s="18"/>
      <c r="H831" s="1"/>
      <c r="I831" s="1"/>
      <c r="J831" s="1"/>
      <c r="K831" s="1"/>
    </row>
    <row r="832" spans="1:11" ht="13.2" x14ac:dyDescent="0.25">
      <c r="A832" s="1"/>
      <c r="B832" s="1"/>
      <c r="C832" s="1"/>
      <c r="D832" s="1"/>
      <c r="E832" s="1"/>
      <c r="F832" s="1"/>
      <c r="G832" s="18"/>
      <c r="H832" s="1"/>
      <c r="I832" s="1"/>
      <c r="J832" s="1"/>
      <c r="K832" s="1"/>
    </row>
    <row r="833" spans="1:11" ht="13.2" x14ac:dyDescent="0.25">
      <c r="A833" s="1"/>
      <c r="B833" s="1"/>
      <c r="C833" s="1"/>
      <c r="D833" s="1"/>
      <c r="E833" s="1"/>
      <c r="F833" s="1"/>
      <c r="G833" s="18"/>
      <c r="H833" s="1"/>
      <c r="I833" s="1"/>
      <c r="J833" s="1"/>
      <c r="K833" s="1"/>
    </row>
    <row r="834" spans="1:11" ht="13.2" x14ac:dyDescent="0.25">
      <c r="A834" s="1"/>
      <c r="B834" s="1"/>
      <c r="C834" s="1"/>
      <c r="D834" s="1"/>
      <c r="E834" s="1"/>
      <c r="F834" s="1"/>
      <c r="G834" s="18"/>
      <c r="H834" s="1"/>
      <c r="I834" s="1"/>
      <c r="J834" s="1"/>
      <c r="K834" s="1"/>
    </row>
    <row r="835" spans="1:11" ht="13.2" x14ac:dyDescent="0.25">
      <c r="A835" s="1"/>
      <c r="B835" s="1"/>
      <c r="C835" s="1"/>
      <c r="D835" s="1"/>
      <c r="E835" s="1"/>
      <c r="F835" s="1"/>
      <c r="G835" s="18"/>
      <c r="H835" s="1"/>
      <c r="I835" s="1"/>
      <c r="J835" s="1"/>
      <c r="K835" s="1"/>
    </row>
    <row r="836" spans="1:11" ht="13.2" x14ac:dyDescent="0.25">
      <c r="A836" s="1"/>
      <c r="B836" s="1"/>
      <c r="C836" s="1"/>
      <c r="D836" s="1"/>
      <c r="E836" s="1"/>
      <c r="F836" s="1"/>
      <c r="G836" s="18"/>
      <c r="H836" s="1"/>
      <c r="I836" s="1"/>
      <c r="J836" s="1"/>
      <c r="K836" s="1"/>
    </row>
    <row r="837" spans="1:11" ht="13.2" x14ac:dyDescent="0.25">
      <c r="A837" s="1"/>
      <c r="B837" s="1"/>
      <c r="C837" s="1"/>
      <c r="D837" s="1"/>
      <c r="E837" s="1"/>
      <c r="F837" s="1"/>
      <c r="G837" s="18"/>
      <c r="H837" s="1"/>
      <c r="I837" s="1"/>
      <c r="J837" s="1"/>
      <c r="K837" s="1"/>
    </row>
    <row r="838" spans="1:11" ht="13.2" x14ac:dyDescent="0.25">
      <c r="A838" s="1"/>
      <c r="B838" s="1"/>
      <c r="C838" s="1"/>
      <c r="D838" s="1"/>
      <c r="E838" s="1"/>
      <c r="F838" s="1"/>
      <c r="G838" s="18"/>
      <c r="H838" s="1"/>
      <c r="I838" s="1"/>
      <c r="J838" s="1"/>
      <c r="K838" s="1"/>
    </row>
    <row r="839" spans="1:11" ht="13.2" x14ac:dyDescent="0.25">
      <c r="A839" s="1"/>
      <c r="B839" s="1"/>
      <c r="C839" s="1"/>
      <c r="D839" s="1"/>
      <c r="E839" s="1"/>
      <c r="F839" s="1"/>
      <c r="G839" s="18"/>
      <c r="H839" s="1"/>
      <c r="I839" s="1"/>
      <c r="J839" s="1"/>
      <c r="K839" s="1"/>
    </row>
    <row r="840" spans="1:11" ht="13.2" x14ac:dyDescent="0.25">
      <c r="A840" s="1"/>
      <c r="B840" s="1"/>
      <c r="C840" s="1"/>
      <c r="D840" s="1"/>
      <c r="E840" s="1"/>
      <c r="F840" s="1"/>
      <c r="G840" s="18"/>
      <c r="H840" s="1"/>
      <c r="I840" s="1"/>
      <c r="J840" s="1"/>
      <c r="K840" s="1"/>
    </row>
    <row r="841" spans="1:11" ht="13.2" x14ac:dyDescent="0.25">
      <c r="A841" s="1"/>
      <c r="B841" s="1"/>
      <c r="C841" s="1"/>
      <c r="D841" s="1"/>
      <c r="E841" s="1"/>
      <c r="F841" s="1"/>
      <c r="G841" s="18"/>
      <c r="H841" s="1"/>
      <c r="I841" s="1"/>
      <c r="J841" s="1"/>
      <c r="K841" s="1"/>
    </row>
    <row r="842" spans="1:11" ht="13.2" x14ac:dyDescent="0.25">
      <c r="A842" s="1"/>
      <c r="B842" s="1"/>
      <c r="C842" s="1"/>
      <c r="D842" s="1"/>
      <c r="E842" s="1"/>
      <c r="F842" s="1"/>
      <c r="G842" s="18"/>
      <c r="H842" s="1"/>
      <c r="I842" s="1"/>
      <c r="J842" s="1"/>
      <c r="K842" s="1"/>
    </row>
    <row r="843" spans="1:11" ht="13.2" x14ac:dyDescent="0.25">
      <c r="A843" s="1"/>
      <c r="B843" s="1"/>
      <c r="C843" s="1"/>
      <c r="D843" s="1"/>
      <c r="E843" s="1"/>
      <c r="F843" s="1"/>
      <c r="G843" s="18"/>
      <c r="H843" s="1"/>
      <c r="I843" s="1"/>
      <c r="J843" s="1"/>
      <c r="K843" s="1"/>
    </row>
    <row r="844" spans="1:11" ht="13.2" x14ac:dyDescent="0.25">
      <c r="A844" s="1"/>
      <c r="B844" s="1"/>
      <c r="C844" s="1"/>
      <c r="D844" s="1"/>
      <c r="E844" s="1"/>
      <c r="F844" s="1"/>
      <c r="G844" s="18"/>
      <c r="H844" s="1"/>
      <c r="I844" s="1"/>
      <c r="J844" s="1"/>
      <c r="K844" s="1"/>
    </row>
    <row r="845" spans="1:11" ht="13.2" x14ac:dyDescent="0.25">
      <c r="A845" s="1"/>
      <c r="B845" s="1"/>
      <c r="C845" s="1"/>
      <c r="D845" s="1"/>
      <c r="E845" s="1"/>
      <c r="F845" s="1"/>
      <c r="G845" s="18"/>
      <c r="H845" s="1"/>
      <c r="I845" s="1"/>
      <c r="J845" s="1"/>
      <c r="K845" s="1"/>
    </row>
    <row r="846" spans="1:11" ht="13.2" x14ac:dyDescent="0.25">
      <c r="A846" s="1"/>
      <c r="B846" s="1"/>
      <c r="C846" s="1"/>
      <c r="D846" s="1"/>
      <c r="E846" s="1"/>
      <c r="F846" s="1"/>
      <c r="G846" s="18"/>
      <c r="H846" s="1"/>
      <c r="I846" s="1"/>
      <c r="J846" s="1"/>
      <c r="K846" s="1"/>
    </row>
    <row r="847" spans="1:11" ht="13.2" x14ac:dyDescent="0.25">
      <c r="A847" s="1"/>
      <c r="B847" s="1"/>
      <c r="C847" s="1"/>
      <c r="D847" s="1"/>
      <c r="E847" s="1"/>
      <c r="F847" s="1"/>
      <c r="G847" s="18"/>
      <c r="H847" s="1"/>
      <c r="I847" s="1"/>
      <c r="J847" s="1"/>
      <c r="K847" s="1"/>
    </row>
    <row r="848" spans="1:11" ht="13.2" x14ac:dyDescent="0.25">
      <c r="A848" s="1"/>
      <c r="B848" s="1"/>
      <c r="C848" s="1"/>
      <c r="D848" s="1"/>
      <c r="E848" s="1"/>
      <c r="F848" s="1"/>
      <c r="G848" s="18"/>
      <c r="H848" s="1"/>
      <c r="I848" s="1"/>
      <c r="J848" s="1"/>
      <c r="K848" s="1"/>
    </row>
    <row r="849" spans="1:11" ht="13.2" x14ac:dyDescent="0.25">
      <c r="A849" s="1"/>
      <c r="B849" s="1"/>
      <c r="C849" s="1"/>
      <c r="D849" s="1"/>
      <c r="E849" s="1"/>
      <c r="F849" s="1"/>
      <c r="G849" s="18"/>
      <c r="H849" s="1"/>
      <c r="I849" s="1"/>
      <c r="J849" s="1"/>
      <c r="K849" s="1"/>
    </row>
    <row r="850" spans="1:11" ht="13.2" x14ac:dyDescent="0.25">
      <c r="A850" s="1"/>
      <c r="B850" s="1"/>
      <c r="C850" s="1"/>
      <c r="D850" s="1"/>
      <c r="E850" s="1"/>
      <c r="F850" s="1"/>
      <c r="G850" s="18"/>
      <c r="H850" s="1"/>
      <c r="I850" s="1"/>
      <c r="J850" s="1"/>
      <c r="K850" s="1"/>
    </row>
    <row r="851" spans="1:11" ht="13.2" x14ac:dyDescent="0.25">
      <c r="A851" s="1"/>
      <c r="B851" s="1"/>
      <c r="C851" s="1"/>
      <c r="D851" s="1"/>
      <c r="E851" s="1"/>
      <c r="F851" s="1"/>
      <c r="G851" s="18"/>
      <c r="H851" s="1"/>
      <c r="I851" s="1"/>
      <c r="J851" s="1"/>
      <c r="K851" s="1"/>
    </row>
    <row r="852" spans="1:11" ht="13.2" x14ac:dyDescent="0.25">
      <c r="A852" s="1"/>
      <c r="B852" s="1"/>
      <c r="C852" s="1"/>
      <c r="D852" s="1"/>
      <c r="E852" s="1"/>
      <c r="F852" s="1"/>
      <c r="G852" s="18"/>
      <c r="H852" s="1"/>
      <c r="I852" s="1"/>
      <c r="J852" s="1"/>
      <c r="K852" s="1"/>
    </row>
    <row r="853" spans="1:11" ht="13.2" x14ac:dyDescent="0.25">
      <c r="A853" s="1"/>
      <c r="B853" s="1"/>
      <c r="C853" s="1"/>
      <c r="D853" s="1"/>
      <c r="E853" s="1"/>
      <c r="F853" s="1"/>
      <c r="G853" s="18"/>
      <c r="H853" s="1"/>
      <c r="I853" s="1"/>
      <c r="J853" s="1"/>
      <c r="K853" s="1"/>
    </row>
    <row r="854" spans="1:11" ht="13.2" x14ac:dyDescent="0.25">
      <c r="A854" s="1"/>
      <c r="B854" s="1"/>
      <c r="C854" s="1"/>
      <c r="D854" s="1"/>
      <c r="E854" s="1"/>
      <c r="F854" s="1"/>
      <c r="G854" s="18"/>
      <c r="H854" s="1"/>
      <c r="I854" s="1"/>
      <c r="J854" s="1"/>
      <c r="K854" s="1"/>
    </row>
    <row r="855" spans="1:11" ht="13.2" x14ac:dyDescent="0.25">
      <c r="A855" s="1"/>
      <c r="B855" s="1"/>
      <c r="C855" s="1"/>
      <c r="D855" s="1"/>
      <c r="E855" s="1"/>
      <c r="F855" s="1"/>
      <c r="G855" s="18"/>
      <c r="H855" s="1"/>
      <c r="I855" s="1"/>
      <c r="J855" s="1"/>
      <c r="K855" s="1"/>
    </row>
    <row r="856" spans="1:11" ht="13.2" x14ac:dyDescent="0.25">
      <c r="A856" s="1"/>
      <c r="B856" s="1"/>
      <c r="C856" s="1"/>
      <c r="D856" s="1"/>
      <c r="E856" s="1"/>
      <c r="F856" s="1"/>
      <c r="G856" s="18"/>
      <c r="H856" s="1"/>
      <c r="I856" s="1"/>
      <c r="J856" s="1"/>
      <c r="K856" s="1"/>
    </row>
    <row r="857" spans="1:11" ht="13.2" x14ac:dyDescent="0.25">
      <c r="A857" s="1"/>
      <c r="B857" s="1"/>
      <c r="C857" s="1"/>
      <c r="D857" s="1"/>
      <c r="E857" s="1"/>
      <c r="F857" s="1"/>
      <c r="G857" s="18"/>
      <c r="H857" s="1"/>
      <c r="I857" s="1"/>
      <c r="J857" s="1"/>
      <c r="K857" s="1"/>
    </row>
    <row r="858" spans="1:11" ht="13.2" x14ac:dyDescent="0.25">
      <c r="A858" s="1"/>
      <c r="B858" s="1"/>
      <c r="C858" s="1"/>
      <c r="D858" s="1"/>
      <c r="E858" s="1"/>
      <c r="F858" s="1"/>
      <c r="G858" s="18"/>
      <c r="H858" s="1"/>
      <c r="I858" s="1"/>
      <c r="J858" s="1"/>
      <c r="K858" s="1"/>
    </row>
    <row r="859" spans="1:11" ht="13.2" x14ac:dyDescent="0.25">
      <c r="A859" s="1"/>
      <c r="B859" s="1"/>
      <c r="C859" s="1"/>
      <c r="D859" s="1"/>
      <c r="E859" s="1"/>
      <c r="F859" s="1"/>
      <c r="G859" s="18"/>
      <c r="H859" s="1"/>
      <c r="I859" s="1"/>
      <c r="J859" s="1"/>
      <c r="K859" s="1"/>
    </row>
    <row r="860" spans="1:11" ht="13.2" x14ac:dyDescent="0.25">
      <c r="A860" s="1"/>
      <c r="B860" s="1"/>
      <c r="C860" s="1"/>
      <c r="D860" s="1"/>
      <c r="E860" s="1"/>
      <c r="F860" s="1"/>
      <c r="G860" s="18"/>
      <c r="H860" s="1"/>
      <c r="I860" s="1"/>
      <c r="J860" s="1"/>
      <c r="K860" s="1"/>
    </row>
    <row r="861" spans="1:11" ht="13.2" x14ac:dyDescent="0.25">
      <c r="A861" s="1"/>
      <c r="B861" s="1"/>
      <c r="C861" s="1"/>
      <c r="D861" s="1"/>
      <c r="E861" s="1"/>
      <c r="F861" s="1"/>
      <c r="G861" s="18"/>
      <c r="H861" s="1"/>
      <c r="I861" s="1"/>
      <c r="J861" s="1"/>
      <c r="K861" s="1"/>
    </row>
    <row r="862" spans="1:11" ht="13.2" x14ac:dyDescent="0.25">
      <c r="A862" s="1"/>
      <c r="B862" s="1"/>
      <c r="C862" s="1"/>
      <c r="D862" s="1"/>
      <c r="E862" s="1"/>
      <c r="F862" s="1"/>
      <c r="G862" s="18"/>
      <c r="H862" s="1"/>
      <c r="I862" s="1"/>
      <c r="J862" s="1"/>
      <c r="K862" s="1"/>
    </row>
    <row r="863" spans="1:11" ht="13.2" x14ac:dyDescent="0.25">
      <c r="A863" s="1"/>
      <c r="B863" s="1"/>
      <c r="C863" s="1"/>
      <c r="D863" s="1"/>
      <c r="E863" s="1"/>
      <c r="F863" s="1"/>
      <c r="G863" s="18"/>
      <c r="H863" s="1"/>
      <c r="I863" s="1"/>
      <c r="J863" s="1"/>
      <c r="K863" s="1"/>
    </row>
    <row r="864" spans="1:11" ht="13.2" x14ac:dyDescent="0.25">
      <c r="A864" s="1"/>
      <c r="B864" s="1"/>
      <c r="C864" s="1"/>
      <c r="D864" s="1"/>
      <c r="E864" s="1"/>
      <c r="F864" s="1"/>
      <c r="G864" s="18"/>
      <c r="H864" s="1"/>
      <c r="I864" s="1"/>
      <c r="J864" s="1"/>
      <c r="K864" s="1"/>
    </row>
    <row r="865" spans="1:11" ht="13.2" x14ac:dyDescent="0.25">
      <c r="A865" s="1"/>
      <c r="B865" s="1"/>
      <c r="C865" s="1"/>
      <c r="D865" s="1"/>
      <c r="E865" s="1"/>
      <c r="F865" s="1"/>
      <c r="G865" s="18"/>
      <c r="H865" s="1"/>
      <c r="I865" s="1"/>
      <c r="J865" s="1"/>
      <c r="K865" s="1"/>
    </row>
    <row r="866" spans="1:11" ht="13.2" x14ac:dyDescent="0.25">
      <c r="A866" s="1"/>
      <c r="B866" s="1"/>
      <c r="C866" s="1"/>
      <c r="D866" s="1"/>
      <c r="E866" s="1"/>
      <c r="F866" s="1"/>
      <c r="G866" s="18"/>
      <c r="H866" s="1"/>
      <c r="I866" s="1"/>
      <c r="J866" s="1"/>
      <c r="K866" s="1"/>
    </row>
    <row r="867" spans="1:11" ht="13.2" x14ac:dyDescent="0.25">
      <c r="A867" s="1"/>
      <c r="B867" s="1"/>
      <c r="C867" s="1"/>
      <c r="D867" s="1"/>
      <c r="E867" s="1"/>
      <c r="F867" s="1"/>
      <c r="G867" s="18"/>
      <c r="H867" s="1"/>
      <c r="I867" s="1"/>
      <c r="J867" s="1"/>
      <c r="K867" s="1"/>
    </row>
    <row r="868" spans="1:11" ht="13.2" x14ac:dyDescent="0.25">
      <c r="A868" s="1"/>
      <c r="B868" s="1"/>
      <c r="C868" s="1"/>
      <c r="D868" s="1"/>
      <c r="E868" s="1"/>
      <c r="F868" s="1"/>
      <c r="G868" s="18"/>
      <c r="H868" s="1"/>
      <c r="I868" s="1"/>
      <c r="J868" s="1"/>
      <c r="K868" s="1"/>
    </row>
    <row r="869" spans="1:11" ht="13.2" x14ac:dyDescent="0.25">
      <c r="A869" s="1"/>
      <c r="B869" s="1"/>
      <c r="C869" s="1"/>
      <c r="D869" s="1"/>
      <c r="E869" s="1"/>
      <c r="F869" s="1"/>
      <c r="G869" s="18"/>
      <c r="H869" s="1"/>
      <c r="I869" s="1"/>
      <c r="J869" s="1"/>
      <c r="K869" s="1"/>
    </row>
    <row r="870" spans="1:11" ht="13.2" x14ac:dyDescent="0.25">
      <c r="A870" s="1"/>
      <c r="B870" s="1"/>
      <c r="C870" s="1"/>
      <c r="D870" s="1"/>
      <c r="E870" s="1"/>
      <c r="F870" s="1"/>
      <c r="G870" s="18"/>
      <c r="H870" s="1"/>
      <c r="I870" s="1"/>
      <c r="J870" s="1"/>
      <c r="K870" s="1"/>
    </row>
    <row r="871" spans="1:11" ht="13.2" x14ac:dyDescent="0.25">
      <c r="A871" s="1"/>
      <c r="B871" s="1"/>
      <c r="C871" s="1"/>
      <c r="D871" s="1"/>
      <c r="E871" s="1"/>
      <c r="F871" s="1"/>
      <c r="G871" s="18"/>
      <c r="H871" s="1"/>
      <c r="I871" s="1"/>
      <c r="J871" s="1"/>
      <c r="K871" s="1"/>
    </row>
    <row r="872" spans="1:11" ht="13.2" x14ac:dyDescent="0.25">
      <c r="A872" s="1"/>
      <c r="B872" s="1"/>
      <c r="C872" s="1"/>
      <c r="D872" s="1"/>
      <c r="E872" s="1"/>
      <c r="F872" s="1"/>
      <c r="G872" s="18"/>
      <c r="H872" s="1"/>
      <c r="I872" s="1"/>
      <c r="J872" s="1"/>
      <c r="K872" s="1"/>
    </row>
    <row r="873" spans="1:11" ht="13.2" x14ac:dyDescent="0.25">
      <c r="A873" s="1"/>
      <c r="B873" s="1"/>
      <c r="C873" s="1"/>
      <c r="D873" s="1"/>
      <c r="E873" s="1"/>
      <c r="F873" s="1"/>
      <c r="G873" s="18"/>
      <c r="H873" s="1"/>
      <c r="I873" s="1"/>
      <c r="J873" s="1"/>
      <c r="K873" s="1"/>
    </row>
    <row r="874" spans="1:11" ht="13.2" x14ac:dyDescent="0.25">
      <c r="A874" s="1"/>
      <c r="B874" s="1"/>
      <c r="C874" s="1"/>
      <c r="D874" s="1"/>
      <c r="E874" s="1"/>
      <c r="F874" s="1"/>
      <c r="G874" s="18"/>
      <c r="H874" s="1"/>
      <c r="I874" s="1"/>
      <c r="J874" s="1"/>
      <c r="K874" s="1"/>
    </row>
    <row r="875" spans="1:11" ht="13.2" x14ac:dyDescent="0.25">
      <c r="A875" s="1"/>
      <c r="B875" s="1"/>
      <c r="C875" s="1"/>
      <c r="D875" s="1"/>
      <c r="E875" s="1"/>
      <c r="F875" s="1"/>
      <c r="G875" s="18"/>
      <c r="H875" s="1"/>
      <c r="I875" s="1"/>
      <c r="J875" s="1"/>
      <c r="K875" s="1"/>
    </row>
    <row r="876" spans="1:11" ht="13.2" x14ac:dyDescent="0.25">
      <c r="A876" s="1"/>
      <c r="B876" s="1"/>
      <c r="C876" s="1"/>
      <c r="D876" s="1"/>
      <c r="E876" s="1"/>
      <c r="F876" s="1"/>
      <c r="G876" s="18"/>
      <c r="H876" s="1"/>
      <c r="I876" s="1"/>
      <c r="J876" s="1"/>
      <c r="K876" s="1"/>
    </row>
    <row r="877" spans="1:11" ht="13.2" x14ac:dyDescent="0.25">
      <c r="A877" s="1"/>
      <c r="B877" s="1"/>
      <c r="C877" s="1"/>
      <c r="D877" s="1"/>
      <c r="E877" s="1"/>
      <c r="F877" s="1"/>
      <c r="G877" s="18"/>
      <c r="H877" s="1"/>
      <c r="I877" s="1"/>
      <c r="J877" s="1"/>
      <c r="K877" s="1"/>
    </row>
    <row r="878" spans="1:11" ht="13.2" x14ac:dyDescent="0.25">
      <c r="A878" s="1"/>
      <c r="B878" s="1"/>
      <c r="C878" s="1"/>
      <c r="D878" s="1"/>
      <c r="E878" s="1"/>
      <c r="F878" s="1"/>
      <c r="G878" s="18"/>
      <c r="H878" s="1"/>
      <c r="I878" s="1"/>
      <c r="J878" s="1"/>
      <c r="K878" s="1"/>
    </row>
    <row r="879" spans="1:11" ht="13.2" x14ac:dyDescent="0.25">
      <c r="A879" s="1"/>
      <c r="B879" s="1"/>
      <c r="C879" s="1"/>
      <c r="D879" s="1"/>
      <c r="E879" s="1"/>
      <c r="F879" s="1"/>
      <c r="G879" s="18"/>
      <c r="H879" s="1"/>
      <c r="I879" s="1"/>
      <c r="J879" s="1"/>
      <c r="K879" s="1"/>
    </row>
    <row r="880" spans="1:11" ht="13.2" x14ac:dyDescent="0.25">
      <c r="A880" s="1"/>
      <c r="B880" s="1"/>
      <c r="C880" s="1"/>
      <c r="D880" s="1"/>
      <c r="E880" s="1"/>
      <c r="F880" s="1"/>
      <c r="G880" s="18"/>
      <c r="H880" s="1"/>
      <c r="I880" s="1"/>
      <c r="J880" s="1"/>
      <c r="K880" s="1"/>
    </row>
    <row r="881" spans="1:11" ht="13.2" x14ac:dyDescent="0.25">
      <c r="A881" s="1"/>
      <c r="B881" s="1"/>
      <c r="C881" s="1"/>
      <c r="D881" s="1"/>
      <c r="E881" s="1"/>
      <c r="F881" s="1"/>
      <c r="G881" s="18"/>
      <c r="H881" s="1"/>
      <c r="I881" s="1"/>
      <c r="J881" s="1"/>
      <c r="K881" s="1"/>
    </row>
    <row r="882" spans="1:11" ht="13.2" x14ac:dyDescent="0.25">
      <c r="A882" s="1"/>
      <c r="B882" s="1"/>
      <c r="C882" s="1"/>
      <c r="D882" s="1"/>
      <c r="E882" s="1"/>
      <c r="F882" s="1"/>
      <c r="G882" s="18"/>
      <c r="H882" s="1"/>
      <c r="I882" s="1"/>
      <c r="J882" s="1"/>
      <c r="K882" s="1"/>
    </row>
    <row r="883" spans="1:11" ht="13.2" x14ac:dyDescent="0.25">
      <c r="A883" s="1"/>
      <c r="B883" s="1"/>
      <c r="C883" s="1"/>
      <c r="D883" s="1"/>
      <c r="E883" s="1"/>
      <c r="F883" s="1"/>
      <c r="G883" s="18"/>
      <c r="H883" s="1"/>
      <c r="I883" s="1"/>
      <c r="J883" s="1"/>
      <c r="K883" s="1"/>
    </row>
    <row r="884" spans="1:11" ht="13.2" x14ac:dyDescent="0.25">
      <c r="A884" s="1"/>
      <c r="B884" s="1"/>
      <c r="C884" s="1"/>
      <c r="D884" s="1"/>
      <c r="E884" s="1"/>
      <c r="F884" s="1"/>
      <c r="G884" s="18"/>
      <c r="H884" s="1"/>
      <c r="I884" s="1"/>
      <c r="J884" s="1"/>
      <c r="K884" s="1"/>
    </row>
    <row r="885" spans="1:11" ht="13.2" x14ac:dyDescent="0.25">
      <c r="A885" s="1"/>
      <c r="B885" s="1"/>
      <c r="C885" s="1"/>
      <c r="D885" s="1"/>
      <c r="E885" s="1"/>
      <c r="F885" s="1"/>
      <c r="G885" s="18"/>
      <c r="H885" s="1"/>
      <c r="I885" s="1"/>
      <c r="J885" s="1"/>
      <c r="K885" s="1"/>
    </row>
    <row r="886" spans="1:11" ht="13.2" x14ac:dyDescent="0.25">
      <c r="A886" s="1"/>
      <c r="B886" s="1"/>
      <c r="C886" s="1"/>
      <c r="D886" s="1"/>
      <c r="E886" s="1"/>
      <c r="F886" s="1"/>
      <c r="G886" s="18"/>
      <c r="H886" s="1"/>
      <c r="I886" s="1"/>
      <c r="J886" s="1"/>
      <c r="K886" s="1"/>
    </row>
    <row r="887" spans="1:11" ht="13.2" x14ac:dyDescent="0.25">
      <c r="A887" s="1"/>
      <c r="B887" s="1"/>
      <c r="C887" s="1"/>
      <c r="D887" s="1"/>
      <c r="E887" s="1"/>
      <c r="F887" s="1"/>
      <c r="G887" s="18"/>
      <c r="H887" s="1"/>
      <c r="I887" s="1"/>
      <c r="J887" s="1"/>
      <c r="K887" s="1"/>
    </row>
    <row r="888" spans="1:11" ht="13.2" x14ac:dyDescent="0.25">
      <c r="A888" s="1"/>
      <c r="B888" s="1"/>
      <c r="C888" s="1"/>
      <c r="D888" s="1"/>
      <c r="E888" s="1"/>
      <c r="F888" s="1"/>
      <c r="G888" s="18"/>
      <c r="H888" s="1"/>
      <c r="I888" s="1"/>
      <c r="J888" s="1"/>
      <c r="K888" s="1"/>
    </row>
    <row r="889" spans="1:11" ht="13.2" x14ac:dyDescent="0.25">
      <c r="A889" s="1"/>
      <c r="B889" s="1"/>
      <c r="C889" s="1"/>
      <c r="D889" s="1"/>
      <c r="E889" s="1"/>
      <c r="F889" s="1"/>
      <c r="G889" s="18"/>
      <c r="H889" s="1"/>
      <c r="I889" s="1"/>
      <c r="J889" s="1"/>
      <c r="K889" s="1"/>
    </row>
    <row r="890" spans="1:11" ht="13.2" x14ac:dyDescent="0.25">
      <c r="A890" s="1"/>
      <c r="B890" s="1"/>
      <c r="C890" s="1"/>
      <c r="D890" s="1"/>
      <c r="E890" s="1"/>
      <c r="F890" s="1"/>
      <c r="G890" s="18"/>
      <c r="H890" s="1"/>
      <c r="I890" s="1"/>
      <c r="J890" s="1"/>
      <c r="K890" s="1"/>
    </row>
    <row r="891" spans="1:11" ht="13.2" x14ac:dyDescent="0.25">
      <c r="A891" s="1"/>
      <c r="B891" s="1"/>
      <c r="C891" s="1"/>
      <c r="D891" s="1"/>
      <c r="E891" s="1"/>
      <c r="F891" s="1"/>
      <c r="G891" s="18"/>
      <c r="H891" s="1"/>
      <c r="I891" s="1"/>
      <c r="J891" s="1"/>
      <c r="K891" s="1"/>
    </row>
    <row r="892" spans="1:11" ht="13.2" x14ac:dyDescent="0.25">
      <c r="A892" s="1"/>
      <c r="B892" s="1"/>
      <c r="C892" s="1"/>
      <c r="D892" s="1"/>
      <c r="E892" s="1"/>
      <c r="F892" s="1"/>
      <c r="G892" s="18"/>
      <c r="H892" s="1"/>
      <c r="I892" s="1"/>
      <c r="J892" s="1"/>
      <c r="K892" s="1"/>
    </row>
    <row r="893" spans="1:11" ht="13.2" x14ac:dyDescent="0.25">
      <c r="A893" s="1"/>
      <c r="B893" s="1"/>
      <c r="C893" s="1"/>
      <c r="D893" s="1"/>
      <c r="E893" s="1"/>
      <c r="F893" s="1"/>
      <c r="G893" s="18"/>
      <c r="H893" s="1"/>
      <c r="I893" s="1"/>
      <c r="J893" s="1"/>
      <c r="K893" s="1"/>
    </row>
    <row r="894" spans="1:11" ht="13.2" x14ac:dyDescent="0.25">
      <c r="A894" s="1"/>
      <c r="B894" s="1"/>
      <c r="C894" s="1"/>
      <c r="D894" s="1"/>
      <c r="E894" s="1"/>
      <c r="F894" s="1"/>
      <c r="G894" s="18"/>
      <c r="H894" s="1"/>
      <c r="I894" s="1"/>
      <c r="J894" s="1"/>
      <c r="K894" s="1"/>
    </row>
    <row r="895" spans="1:11" ht="13.2" x14ac:dyDescent="0.25">
      <c r="A895" s="1"/>
      <c r="B895" s="1"/>
      <c r="C895" s="1"/>
      <c r="D895" s="1"/>
      <c r="E895" s="1"/>
      <c r="F895" s="1"/>
      <c r="G895" s="18"/>
      <c r="H895" s="1"/>
      <c r="I895" s="1"/>
      <c r="J895" s="1"/>
      <c r="K895" s="1"/>
    </row>
    <row r="896" spans="1:11" ht="13.2" x14ac:dyDescent="0.25">
      <c r="A896" s="1"/>
      <c r="B896" s="1"/>
      <c r="C896" s="1"/>
      <c r="D896" s="1"/>
      <c r="E896" s="1"/>
      <c r="F896" s="1"/>
      <c r="G896" s="18"/>
      <c r="H896" s="1"/>
      <c r="I896" s="1"/>
      <c r="J896" s="1"/>
      <c r="K896" s="1"/>
    </row>
    <row r="897" spans="1:11" ht="13.2" x14ac:dyDescent="0.25">
      <c r="A897" s="1"/>
      <c r="B897" s="1"/>
      <c r="C897" s="1"/>
      <c r="D897" s="1"/>
      <c r="E897" s="1"/>
      <c r="F897" s="1"/>
      <c r="G897" s="18"/>
      <c r="H897" s="1"/>
      <c r="I897" s="1"/>
      <c r="J897" s="1"/>
      <c r="K897" s="1"/>
    </row>
    <row r="898" spans="1:11" ht="13.2" x14ac:dyDescent="0.25">
      <c r="A898" s="1"/>
      <c r="B898" s="1"/>
      <c r="C898" s="1"/>
      <c r="D898" s="1"/>
      <c r="E898" s="1"/>
      <c r="F898" s="1"/>
      <c r="G898" s="18"/>
      <c r="H898" s="1"/>
      <c r="I898" s="1"/>
      <c r="J898" s="1"/>
      <c r="K898" s="1"/>
    </row>
    <row r="899" spans="1:11" ht="13.2" x14ac:dyDescent="0.25">
      <c r="A899" s="1"/>
      <c r="B899" s="1"/>
      <c r="C899" s="1"/>
      <c r="D899" s="1"/>
      <c r="E899" s="1"/>
      <c r="F899" s="1"/>
      <c r="G899" s="18"/>
      <c r="H899" s="1"/>
      <c r="I899" s="1"/>
      <c r="J899" s="1"/>
      <c r="K899" s="1"/>
    </row>
    <row r="900" spans="1:11" ht="13.2" x14ac:dyDescent="0.25">
      <c r="A900" s="1"/>
      <c r="B900" s="1"/>
      <c r="C900" s="1"/>
      <c r="D900" s="1"/>
      <c r="E900" s="1"/>
      <c r="F900" s="1"/>
      <c r="G900" s="18"/>
      <c r="H900" s="1"/>
      <c r="I900" s="1"/>
      <c r="J900" s="1"/>
      <c r="K900" s="1"/>
    </row>
    <row r="901" spans="1:11" ht="13.2" x14ac:dyDescent="0.25">
      <c r="A901" s="1"/>
      <c r="B901" s="1"/>
      <c r="C901" s="1"/>
      <c r="D901" s="1"/>
      <c r="E901" s="1"/>
      <c r="F901" s="1"/>
      <c r="G901" s="18"/>
      <c r="H901" s="1"/>
      <c r="I901" s="1"/>
      <c r="J901" s="1"/>
      <c r="K901" s="1"/>
    </row>
    <row r="902" spans="1:11" ht="13.2" x14ac:dyDescent="0.25">
      <c r="A902" s="1"/>
      <c r="B902" s="1"/>
      <c r="C902" s="1"/>
      <c r="D902" s="1"/>
      <c r="E902" s="1"/>
      <c r="F902" s="1"/>
      <c r="G902" s="18"/>
      <c r="H902" s="1"/>
      <c r="I902" s="1"/>
      <c r="J902" s="1"/>
      <c r="K902" s="1"/>
    </row>
    <row r="903" spans="1:11" ht="13.2" x14ac:dyDescent="0.25">
      <c r="A903" s="1"/>
      <c r="B903" s="1"/>
      <c r="C903" s="1"/>
      <c r="D903" s="1"/>
      <c r="E903" s="1"/>
      <c r="F903" s="1"/>
      <c r="G903" s="18"/>
      <c r="H903" s="1"/>
      <c r="I903" s="1"/>
      <c r="J903" s="1"/>
      <c r="K903" s="1"/>
    </row>
    <row r="904" spans="1:11" ht="13.2" x14ac:dyDescent="0.25">
      <c r="A904" s="1"/>
      <c r="B904" s="1"/>
      <c r="C904" s="1"/>
      <c r="D904" s="1"/>
      <c r="E904" s="1"/>
      <c r="F904" s="1"/>
      <c r="G904" s="18"/>
      <c r="H904" s="1"/>
      <c r="I904" s="1"/>
      <c r="J904" s="1"/>
      <c r="K904" s="1"/>
    </row>
    <row r="905" spans="1:11" ht="13.2" x14ac:dyDescent="0.25">
      <c r="A905" s="1"/>
      <c r="B905" s="1"/>
      <c r="C905" s="1"/>
      <c r="D905" s="1"/>
      <c r="E905" s="1"/>
      <c r="F905" s="1"/>
      <c r="G905" s="18"/>
      <c r="H905" s="1"/>
      <c r="I905" s="1"/>
      <c r="J905" s="1"/>
      <c r="K905" s="1"/>
    </row>
    <row r="906" spans="1:11" ht="13.2" x14ac:dyDescent="0.25">
      <c r="A906" s="1"/>
      <c r="B906" s="1"/>
      <c r="C906" s="1"/>
      <c r="D906" s="1"/>
      <c r="E906" s="1"/>
      <c r="F906" s="1"/>
      <c r="G906" s="18"/>
      <c r="H906" s="1"/>
      <c r="I906" s="1"/>
      <c r="J906" s="1"/>
      <c r="K906" s="1"/>
    </row>
    <row r="907" spans="1:11" ht="13.2" x14ac:dyDescent="0.25">
      <c r="A907" s="1"/>
      <c r="B907" s="1"/>
      <c r="C907" s="1"/>
      <c r="D907" s="1"/>
      <c r="E907" s="1"/>
      <c r="F907" s="1"/>
      <c r="G907" s="18"/>
      <c r="H907" s="1"/>
      <c r="I907" s="1"/>
      <c r="J907" s="1"/>
      <c r="K907" s="1"/>
    </row>
    <row r="908" spans="1:11" ht="13.2" x14ac:dyDescent="0.25">
      <c r="A908" s="1"/>
      <c r="B908" s="1"/>
      <c r="C908" s="1"/>
      <c r="D908" s="1"/>
      <c r="E908" s="1"/>
      <c r="F908" s="1"/>
      <c r="G908" s="18"/>
      <c r="H908" s="1"/>
      <c r="I908" s="1"/>
      <c r="J908" s="1"/>
      <c r="K908" s="1"/>
    </row>
    <row r="909" spans="1:11" ht="13.2" x14ac:dyDescent="0.25">
      <c r="A909" s="1"/>
      <c r="B909" s="1"/>
      <c r="C909" s="1"/>
      <c r="D909" s="1"/>
      <c r="E909" s="1"/>
      <c r="F909" s="1"/>
      <c r="G909" s="18"/>
      <c r="H909" s="1"/>
      <c r="I909" s="1"/>
      <c r="J909" s="1"/>
      <c r="K909" s="1"/>
    </row>
    <row r="910" spans="1:11" ht="13.2" x14ac:dyDescent="0.25">
      <c r="A910" s="1"/>
      <c r="B910" s="1"/>
      <c r="C910" s="1"/>
      <c r="D910" s="1"/>
      <c r="E910" s="1"/>
      <c r="F910" s="1"/>
      <c r="G910" s="18"/>
      <c r="H910" s="1"/>
      <c r="I910" s="1"/>
      <c r="J910" s="1"/>
      <c r="K910" s="1"/>
    </row>
    <row r="911" spans="1:11" ht="13.2" x14ac:dyDescent="0.25">
      <c r="A911" s="1"/>
      <c r="B911" s="1"/>
      <c r="C911" s="1"/>
      <c r="D911" s="1"/>
      <c r="E911" s="1"/>
      <c r="F911" s="1"/>
      <c r="G911" s="18"/>
      <c r="H911" s="1"/>
      <c r="I911" s="1"/>
      <c r="J911" s="1"/>
      <c r="K911" s="1"/>
    </row>
    <row r="912" spans="1:11" ht="13.2" x14ac:dyDescent="0.25">
      <c r="A912" s="1"/>
      <c r="B912" s="1"/>
      <c r="C912" s="1"/>
      <c r="D912" s="1"/>
      <c r="E912" s="1"/>
      <c r="F912" s="1"/>
      <c r="G912" s="18"/>
      <c r="H912" s="1"/>
      <c r="I912" s="1"/>
      <c r="J912" s="1"/>
      <c r="K912" s="1"/>
    </row>
    <row r="913" spans="1:11" ht="13.2" x14ac:dyDescent="0.25">
      <c r="A913" s="1"/>
      <c r="B913" s="1"/>
      <c r="C913" s="1"/>
      <c r="D913" s="1"/>
      <c r="E913" s="1"/>
      <c r="F913" s="1"/>
      <c r="G913" s="18"/>
      <c r="H913" s="1"/>
      <c r="I913" s="1"/>
      <c r="J913" s="1"/>
      <c r="K913" s="1"/>
    </row>
    <row r="914" spans="1:11" ht="13.2" x14ac:dyDescent="0.25">
      <c r="A914" s="1"/>
      <c r="B914" s="1"/>
      <c r="C914" s="1"/>
      <c r="D914" s="1"/>
      <c r="E914" s="1"/>
      <c r="F914" s="1"/>
      <c r="G914" s="18"/>
      <c r="H914" s="1"/>
      <c r="I914" s="1"/>
      <c r="J914" s="1"/>
      <c r="K914" s="1"/>
    </row>
    <row r="915" spans="1:11" ht="13.2" x14ac:dyDescent="0.25">
      <c r="A915" s="1"/>
      <c r="B915" s="1"/>
      <c r="C915" s="1"/>
      <c r="D915" s="1"/>
      <c r="E915" s="1"/>
      <c r="F915" s="1"/>
      <c r="G915" s="18"/>
      <c r="H915" s="1"/>
      <c r="I915" s="1"/>
      <c r="J915" s="1"/>
      <c r="K915" s="1"/>
    </row>
    <row r="916" spans="1:11" ht="13.2" x14ac:dyDescent="0.25">
      <c r="A916" s="1"/>
      <c r="B916" s="1"/>
      <c r="C916" s="1"/>
      <c r="D916" s="1"/>
      <c r="E916" s="1"/>
      <c r="F916" s="1"/>
      <c r="G916" s="18"/>
      <c r="H916" s="1"/>
      <c r="I916" s="1"/>
      <c r="J916" s="1"/>
      <c r="K916" s="1"/>
    </row>
    <row r="917" spans="1:11" ht="13.2" x14ac:dyDescent="0.25">
      <c r="A917" s="1"/>
      <c r="B917" s="1"/>
      <c r="C917" s="1"/>
      <c r="D917" s="1"/>
      <c r="E917" s="1"/>
      <c r="F917" s="1"/>
      <c r="G917" s="18"/>
      <c r="H917" s="1"/>
      <c r="I917" s="1"/>
      <c r="J917" s="1"/>
      <c r="K917" s="1"/>
    </row>
    <row r="918" spans="1:11" ht="13.2" x14ac:dyDescent="0.25">
      <c r="A918" s="1"/>
      <c r="B918" s="1"/>
      <c r="C918" s="1"/>
      <c r="D918" s="1"/>
      <c r="E918" s="1"/>
      <c r="F918" s="1"/>
      <c r="G918" s="18"/>
      <c r="H918" s="1"/>
      <c r="I918" s="1"/>
      <c r="J918" s="1"/>
      <c r="K918" s="1"/>
    </row>
    <row r="919" spans="1:11" ht="13.2" x14ac:dyDescent="0.25">
      <c r="A919" s="1"/>
      <c r="B919" s="1"/>
      <c r="C919" s="1"/>
      <c r="D919" s="1"/>
      <c r="E919" s="1"/>
      <c r="F919" s="1"/>
      <c r="G919" s="18"/>
      <c r="H919" s="1"/>
      <c r="I919" s="1"/>
      <c r="J919" s="1"/>
      <c r="K919" s="1"/>
    </row>
    <row r="920" spans="1:11" ht="13.2" x14ac:dyDescent="0.25">
      <c r="A920" s="1"/>
      <c r="B920" s="1"/>
      <c r="C920" s="1"/>
      <c r="D920" s="1"/>
      <c r="E920" s="1"/>
      <c r="F920" s="1"/>
      <c r="G920" s="18"/>
      <c r="H920" s="1"/>
      <c r="I920" s="1"/>
      <c r="J920" s="1"/>
      <c r="K920" s="1"/>
    </row>
    <row r="921" spans="1:11" ht="13.2" x14ac:dyDescent="0.25">
      <c r="A921" s="1"/>
      <c r="B921" s="1"/>
      <c r="C921" s="1"/>
      <c r="D921" s="1"/>
      <c r="E921" s="1"/>
      <c r="F921" s="1"/>
      <c r="G921" s="18"/>
      <c r="H921" s="1"/>
      <c r="I921" s="1"/>
      <c r="J921" s="1"/>
      <c r="K921" s="1"/>
    </row>
    <row r="922" spans="1:11" ht="13.2" x14ac:dyDescent="0.25">
      <c r="A922" s="1"/>
      <c r="B922" s="1"/>
      <c r="C922" s="1"/>
      <c r="D922" s="1"/>
      <c r="E922" s="1"/>
      <c r="F922" s="1"/>
      <c r="G922" s="18"/>
      <c r="H922" s="1"/>
      <c r="I922" s="1"/>
      <c r="J922" s="1"/>
      <c r="K922" s="1"/>
    </row>
    <row r="923" spans="1:11" ht="13.2" x14ac:dyDescent="0.25">
      <c r="A923" s="1"/>
      <c r="B923" s="1"/>
      <c r="C923" s="1"/>
      <c r="D923" s="1"/>
      <c r="E923" s="1"/>
      <c r="F923" s="1"/>
      <c r="G923" s="18"/>
      <c r="H923" s="1"/>
      <c r="I923" s="1"/>
      <c r="J923" s="1"/>
      <c r="K923" s="1"/>
    </row>
    <row r="924" spans="1:11" ht="13.2" x14ac:dyDescent="0.25">
      <c r="A924" s="1"/>
      <c r="B924" s="1"/>
      <c r="C924" s="1"/>
      <c r="D924" s="1"/>
      <c r="E924" s="1"/>
      <c r="F924" s="1"/>
      <c r="G924" s="18"/>
      <c r="H924" s="1"/>
      <c r="I924" s="1"/>
      <c r="J924" s="1"/>
      <c r="K924" s="1"/>
    </row>
    <row r="925" spans="1:11" ht="13.2" x14ac:dyDescent="0.25">
      <c r="A925" s="1"/>
      <c r="B925" s="1"/>
      <c r="C925" s="1"/>
      <c r="D925" s="1"/>
      <c r="E925" s="1"/>
      <c r="F925" s="1"/>
      <c r="G925" s="18"/>
      <c r="H925" s="1"/>
      <c r="I925" s="1"/>
      <c r="J925" s="1"/>
      <c r="K925" s="1"/>
    </row>
    <row r="926" spans="1:11" ht="13.2" x14ac:dyDescent="0.25">
      <c r="A926" s="1"/>
      <c r="B926" s="1"/>
      <c r="C926" s="1"/>
      <c r="D926" s="1"/>
      <c r="E926" s="1"/>
      <c r="F926" s="1"/>
      <c r="G926" s="18"/>
      <c r="H926" s="1"/>
      <c r="I926" s="1"/>
      <c r="J926" s="1"/>
      <c r="K926" s="1"/>
    </row>
    <row r="927" spans="1:11" ht="13.2" x14ac:dyDescent="0.25">
      <c r="A927" s="1"/>
      <c r="B927" s="1"/>
      <c r="C927" s="1"/>
      <c r="D927" s="1"/>
      <c r="E927" s="1"/>
      <c r="F927" s="1"/>
      <c r="G927" s="18"/>
      <c r="H927" s="1"/>
      <c r="I927" s="1"/>
      <c r="J927" s="1"/>
      <c r="K927" s="1"/>
    </row>
    <row r="928" spans="1:11" ht="13.2" x14ac:dyDescent="0.25">
      <c r="A928" s="1"/>
      <c r="B928" s="1"/>
      <c r="C928" s="1"/>
      <c r="D928" s="1"/>
      <c r="E928" s="1"/>
      <c r="F928" s="1"/>
      <c r="G928" s="18"/>
      <c r="H928" s="1"/>
      <c r="I928" s="1"/>
      <c r="J928" s="1"/>
      <c r="K928" s="1"/>
    </row>
    <row r="929" spans="1:11" ht="13.2" x14ac:dyDescent="0.25">
      <c r="A929" s="1"/>
      <c r="B929" s="1"/>
      <c r="C929" s="1"/>
      <c r="D929" s="1"/>
      <c r="E929" s="1"/>
      <c r="F929" s="1"/>
      <c r="G929" s="18"/>
      <c r="H929" s="1"/>
      <c r="I929" s="1"/>
      <c r="J929" s="1"/>
      <c r="K929" s="1"/>
    </row>
    <row r="930" spans="1:11" ht="13.2" x14ac:dyDescent="0.25">
      <c r="A930" s="1"/>
      <c r="B930" s="1"/>
      <c r="C930" s="1"/>
      <c r="D930" s="1"/>
      <c r="E930" s="1"/>
      <c r="F930" s="1"/>
      <c r="G930" s="18"/>
      <c r="H930" s="1"/>
      <c r="I930" s="1"/>
      <c r="J930" s="1"/>
      <c r="K930" s="1"/>
    </row>
    <row r="931" spans="1:11" ht="13.2" x14ac:dyDescent="0.25">
      <c r="A931" s="1"/>
      <c r="B931" s="1"/>
      <c r="C931" s="1"/>
      <c r="D931" s="1"/>
      <c r="E931" s="1"/>
      <c r="F931" s="1"/>
      <c r="G931" s="18"/>
      <c r="H931" s="1"/>
      <c r="I931" s="1"/>
      <c r="J931" s="1"/>
      <c r="K931" s="1"/>
    </row>
    <row r="932" spans="1:11" ht="13.2" x14ac:dyDescent="0.25">
      <c r="A932" s="1"/>
      <c r="B932" s="1"/>
      <c r="C932" s="1"/>
      <c r="D932" s="1"/>
      <c r="E932" s="1"/>
      <c r="F932" s="1"/>
      <c r="G932" s="18"/>
      <c r="H932" s="1"/>
      <c r="I932" s="1"/>
      <c r="J932" s="1"/>
      <c r="K932" s="1"/>
    </row>
    <row r="933" spans="1:11" ht="13.2" x14ac:dyDescent="0.25">
      <c r="A933" s="1"/>
      <c r="B933" s="1"/>
      <c r="C933" s="1"/>
      <c r="D933" s="1"/>
      <c r="E933" s="1"/>
      <c r="F933" s="1"/>
      <c r="G933" s="18"/>
      <c r="H933" s="1"/>
      <c r="I933" s="1"/>
      <c r="J933" s="1"/>
      <c r="K933" s="1"/>
    </row>
    <row r="934" spans="1:11" ht="13.2" x14ac:dyDescent="0.25">
      <c r="A934" s="1"/>
      <c r="B934" s="1"/>
      <c r="C934" s="1"/>
      <c r="D934" s="1"/>
      <c r="E934" s="1"/>
      <c r="F934" s="1"/>
      <c r="G934" s="18"/>
      <c r="H934" s="1"/>
      <c r="I934" s="1"/>
      <c r="J934" s="1"/>
      <c r="K934" s="1"/>
    </row>
    <row r="935" spans="1:11" ht="13.2" x14ac:dyDescent="0.25">
      <c r="A935" s="1"/>
      <c r="B935" s="1"/>
      <c r="C935" s="1"/>
      <c r="D935" s="1"/>
      <c r="E935" s="1"/>
      <c r="F935" s="1"/>
      <c r="G935" s="18"/>
      <c r="H935" s="1"/>
      <c r="I935" s="1"/>
      <c r="J935" s="1"/>
      <c r="K935" s="1"/>
    </row>
    <row r="936" spans="1:11" ht="13.2" x14ac:dyDescent="0.25">
      <c r="A936" s="1"/>
      <c r="B936" s="1"/>
      <c r="C936" s="1"/>
      <c r="D936" s="1"/>
      <c r="E936" s="1"/>
      <c r="F936" s="1"/>
      <c r="G936" s="18"/>
      <c r="H936" s="1"/>
      <c r="I936" s="1"/>
      <c r="J936" s="1"/>
      <c r="K936" s="1"/>
    </row>
    <row r="937" spans="1:11" ht="13.2" x14ac:dyDescent="0.25">
      <c r="A937" s="1"/>
      <c r="B937" s="1"/>
      <c r="C937" s="1"/>
      <c r="D937" s="1"/>
      <c r="E937" s="1"/>
      <c r="F937" s="1"/>
      <c r="G937" s="18"/>
      <c r="H937" s="1"/>
      <c r="I937" s="1"/>
      <c r="J937" s="1"/>
      <c r="K937" s="1"/>
    </row>
    <row r="938" spans="1:11" ht="13.2" x14ac:dyDescent="0.25">
      <c r="A938" s="1"/>
      <c r="B938" s="1"/>
      <c r="C938" s="1"/>
      <c r="D938" s="1"/>
      <c r="E938" s="1"/>
      <c r="F938" s="1"/>
      <c r="G938" s="18"/>
      <c r="H938" s="1"/>
      <c r="I938" s="1"/>
      <c r="J938" s="1"/>
      <c r="K938" s="1"/>
    </row>
    <row r="939" spans="1:11" ht="13.2" x14ac:dyDescent="0.25">
      <c r="A939" s="1"/>
      <c r="B939" s="1"/>
      <c r="C939" s="1"/>
      <c r="D939" s="1"/>
      <c r="E939" s="1"/>
      <c r="F939" s="1"/>
      <c r="G939" s="18"/>
      <c r="H939" s="1"/>
      <c r="I939" s="1"/>
      <c r="J939" s="1"/>
      <c r="K939" s="1"/>
    </row>
    <row r="940" spans="1:11" ht="13.2" x14ac:dyDescent="0.25">
      <c r="A940" s="1"/>
      <c r="B940" s="1"/>
      <c r="C940" s="1"/>
      <c r="D940" s="1"/>
      <c r="E940" s="1"/>
      <c r="F940" s="1"/>
      <c r="G940" s="18"/>
      <c r="H940" s="1"/>
      <c r="I940" s="1"/>
      <c r="J940" s="1"/>
      <c r="K940" s="1"/>
    </row>
    <row r="941" spans="1:11" ht="13.2" x14ac:dyDescent="0.25">
      <c r="A941" s="1"/>
      <c r="B941" s="1"/>
      <c r="C941" s="1"/>
      <c r="D941" s="1"/>
      <c r="E941" s="1"/>
      <c r="F941" s="1"/>
      <c r="G941" s="18"/>
      <c r="H941" s="1"/>
      <c r="I941" s="1"/>
      <c r="J941" s="1"/>
      <c r="K941" s="1"/>
    </row>
    <row r="942" spans="1:11" ht="13.2" x14ac:dyDescent="0.25">
      <c r="A942" s="1"/>
      <c r="B942" s="1"/>
      <c r="C942" s="1"/>
      <c r="D942" s="1"/>
      <c r="E942" s="1"/>
      <c r="F942" s="1"/>
      <c r="G942" s="18"/>
      <c r="H942" s="1"/>
      <c r="I942" s="1"/>
      <c r="J942" s="1"/>
      <c r="K942" s="1"/>
    </row>
    <row r="943" spans="1:11" ht="13.2" x14ac:dyDescent="0.25">
      <c r="A943" s="1"/>
      <c r="B943" s="1"/>
      <c r="C943" s="1"/>
      <c r="D943" s="1"/>
      <c r="E943" s="1"/>
      <c r="F943" s="1"/>
      <c r="G943" s="18"/>
      <c r="H943" s="1"/>
      <c r="I943" s="1"/>
      <c r="J943" s="1"/>
      <c r="K943" s="1"/>
    </row>
    <row r="944" spans="1:11" ht="13.2" x14ac:dyDescent="0.25">
      <c r="A944" s="1"/>
      <c r="B944" s="1"/>
      <c r="C944" s="1"/>
      <c r="D944" s="1"/>
      <c r="E944" s="1"/>
      <c r="F944" s="1"/>
      <c r="G944" s="18"/>
      <c r="H944" s="1"/>
      <c r="I944" s="1"/>
      <c r="J944" s="1"/>
      <c r="K944" s="1"/>
    </row>
    <row r="945" spans="1:11" ht="13.2" x14ac:dyDescent="0.25">
      <c r="A945" s="1"/>
      <c r="B945" s="1"/>
      <c r="C945" s="1"/>
      <c r="D945" s="1"/>
      <c r="E945" s="1"/>
      <c r="F945" s="1"/>
      <c r="G945" s="18"/>
      <c r="H945" s="1"/>
      <c r="I945" s="1"/>
      <c r="J945" s="1"/>
      <c r="K945" s="1"/>
    </row>
    <row r="946" spans="1:11" ht="13.2" x14ac:dyDescent="0.25">
      <c r="A946" s="1"/>
      <c r="B946" s="1"/>
      <c r="C946" s="1"/>
      <c r="D946" s="1"/>
      <c r="E946" s="1"/>
      <c r="F946" s="1"/>
      <c r="G946" s="18"/>
      <c r="H946" s="1"/>
      <c r="I946" s="1"/>
      <c r="J946" s="1"/>
      <c r="K946" s="1"/>
    </row>
    <row r="947" spans="1:11" ht="13.2" x14ac:dyDescent="0.25">
      <c r="A947" s="1"/>
      <c r="B947" s="1"/>
      <c r="C947" s="1"/>
      <c r="D947" s="1"/>
      <c r="E947" s="1"/>
      <c r="F947" s="1"/>
      <c r="G947" s="18"/>
      <c r="H947" s="1"/>
      <c r="I947" s="1"/>
      <c r="J947" s="1"/>
      <c r="K947" s="1"/>
    </row>
    <row r="948" spans="1:11" ht="13.2" x14ac:dyDescent="0.25">
      <c r="A948" s="1"/>
      <c r="B948" s="1"/>
      <c r="C948" s="1"/>
      <c r="D948" s="1"/>
      <c r="E948" s="1"/>
      <c r="F948" s="1"/>
      <c r="G948" s="18"/>
      <c r="H948" s="1"/>
      <c r="I948" s="1"/>
      <c r="J948" s="1"/>
      <c r="K948" s="1"/>
    </row>
    <row r="949" spans="1:11" ht="13.2" x14ac:dyDescent="0.25">
      <c r="A949" s="1"/>
      <c r="B949" s="1"/>
      <c r="C949" s="1"/>
      <c r="D949" s="1"/>
      <c r="E949" s="1"/>
      <c r="F949" s="1"/>
      <c r="G949" s="18"/>
      <c r="H949" s="1"/>
      <c r="I949" s="1"/>
      <c r="J949" s="1"/>
      <c r="K949" s="1"/>
    </row>
    <row r="950" spans="1:11" ht="13.2" x14ac:dyDescent="0.25">
      <c r="A950" s="1"/>
      <c r="B950" s="1"/>
      <c r="C950" s="1"/>
      <c r="D950" s="1"/>
      <c r="E950" s="1"/>
      <c r="F950" s="1"/>
      <c r="G950" s="18"/>
      <c r="H950" s="1"/>
      <c r="I950" s="1"/>
      <c r="J950" s="1"/>
      <c r="K950" s="1"/>
    </row>
    <row r="951" spans="1:11" ht="13.2" x14ac:dyDescent="0.25">
      <c r="A951" s="1"/>
      <c r="B951" s="1"/>
      <c r="C951" s="1"/>
      <c r="D951" s="1"/>
      <c r="E951" s="1"/>
      <c r="F951" s="1"/>
      <c r="G951" s="18"/>
      <c r="H951" s="1"/>
      <c r="I951" s="1"/>
      <c r="J951" s="1"/>
      <c r="K951" s="1"/>
    </row>
    <row r="952" spans="1:11" ht="13.2" x14ac:dyDescent="0.25">
      <c r="A952" s="1"/>
      <c r="B952" s="1"/>
      <c r="C952" s="1"/>
      <c r="D952" s="1"/>
      <c r="E952" s="1"/>
      <c r="F952" s="1"/>
      <c r="G952" s="18"/>
      <c r="H952" s="1"/>
      <c r="I952" s="1"/>
      <c r="J952" s="1"/>
      <c r="K952" s="1"/>
    </row>
    <row r="953" spans="1:11" ht="13.2" x14ac:dyDescent="0.25">
      <c r="A953" s="1"/>
      <c r="B953" s="1"/>
      <c r="C953" s="1"/>
      <c r="D953" s="1"/>
      <c r="E953" s="1"/>
      <c r="F953" s="1"/>
      <c r="G953" s="18"/>
      <c r="H953" s="1"/>
      <c r="I953" s="1"/>
      <c r="J953" s="1"/>
      <c r="K953" s="1"/>
    </row>
    <row r="954" spans="1:11" ht="13.2" x14ac:dyDescent="0.25">
      <c r="A954" s="1"/>
      <c r="B954" s="1"/>
      <c r="C954" s="1"/>
      <c r="D954" s="1"/>
      <c r="E954" s="1"/>
      <c r="F954" s="1"/>
      <c r="G954" s="18"/>
      <c r="H954" s="1"/>
      <c r="I954" s="1"/>
      <c r="J954" s="1"/>
      <c r="K954" s="1"/>
    </row>
    <row r="955" spans="1:11" ht="13.2" x14ac:dyDescent="0.25">
      <c r="A955" s="1"/>
      <c r="B955" s="1"/>
      <c r="C955" s="1"/>
      <c r="D955" s="1"/>
      <c r="E955" s="1"/>
      <c r="F955" s="1"/>
      <c r="G955" s="18"/>
      <c r="H955" s="1"/>
      <c r="I955" s="1"/>
      <c r="J955" s="1"/>
      <c r="K955" s="1"/>
    </row>
    <row r="956" spans="1:11" ht="13.2" x14ac:dyDescent="0.25">
      <c r="A956" s="1"/>
      <c r="B956" s="1"/>
      <c r="C956" s="1"/>
      <c r="D956" s="1"/>
      <c r="E956" s="1"/>
      <c r="F956" s="1"/>
      <c r="G956" s="18"/>
      <c r="H956" s="1"/>
      <c r="I956" s="1"/>
      <c r="J956" s="1"/>
      <c r="K956" s="1"/>
    </row>
    <row r="957" spans="1:11" ht="13.2" x14ac:dyDescent="0.25">
      <c r="A957" s="1"/>
      <c r="B957" s="1"/>
      <c r="C957" s="1"/>
      <c r="D957" s="1"/>
      <c r="E957" s="1"/>
      <c r="F957" s="1"/>
      <c r="G957" s="18"/>
      <c r="H957" s="1"/>
      <c r="I957" s="1"/>
      <c r="J957" s="1"/>
      <c r="K957" s="1"/>
    </row>
    <row r="958" spans="1:11" ht="13.2" x14ac:dyDescent="0.25">
      <c r="A958" s="1"/>
      <c r="B958" s="1"/>
      <c r="C958" s="1"/>
      <c r="D958" s="1"/>
      <c r="E958" s="1"/>
      <c r="F958" s="1"/>
      <c r="G958" s="18"/>
      <c r="H958" s="1"/>
      <c r="I958" s="1"/>
      <c r="J958" s="1"/>
      <c r="K958" s="1"/>
    </row>
    <row r="959" spans="1:11" ht="13.2" x14ac:dyDescent="0.25">
      <c r="A959" s="1"/>
      <c r="B959" s="1"/>
      <c r="C959" s="1"/>
      <c r="D959" s="1"/>
      <c r="E959" s="1"/>
      <c r="F959" s="1"/>
      <c r="G959" s="18"/>
      <c r="H959" s="1"/>
      <c r="I959" s="1"/>
      <c r="J959" s="1"/>
      <c r="K959" s="1"/>
    </row>
    <row r="960" spans="1:11" ht="13.2" x14ac:dyDescent="0.25">
      <c r="A960" s="1"/>
      <c r="B960" s="1"/>
      <c r="C960" s="1"/>
      <c r="D960" s="1"/>
      <c r="E960" s="1"/>
      <c r="F960" s="1"/>
      <c r="G960" s="18"/>
      <c r="H960" s="1"/>
      <c r="I960" s="1"/>
      <c r="J960" s="1"/>
      <c r="K960" s="1"/>
    </row>
    <row r="961" spans="1:11" ht="13.2" x14ac:dyDescent="0.25">
      <c r="A961" s="1"/>
      <c r="B961" s="1"/>
      <c r="C961" s="1"/>
      <c r="D961" s="1"/>
      <c r="E961" s="1"/>
      <c r="F961" s="1"/>
      <c r="G961" s="18"/>
      <c r="H961" s="1"/>
      <c r="I961" s="1"/>
      <c r="J961" s="1"/>
      <c r="K961" s="1"/>
    </row>
    <row r="962" spans="1:11" ht="13.2" x14ac:dyDescent="0.25">
      <c r="A962" s="1"/>
      <c r="B962" s="1"/>
      <c r="C962" s="1"/>
      <c r="D962" s="1"/>
      <c r="E962" s="1"/>
      <c r="F962" s="1"/>
      <c r="G962" s="18"/>
      <c r="H962" s="1"/>
      <c r="I962" s="1"/>
      <c r="J962" s="1"/>
      <c r="K962" s="1"/>
    </row>
    <row r="963" spans="1:11" ht="13.2" x14ac:dyDescent="0.25">
      <c r="A963" s="1"/>
      <c r="B963" s="1"/>
      <c r="C963" s="1"/>
      <c r="D963" s="1"/>
      <c r="E963" s="1"/>
      <c r="F963" s="1"/>
      <c r="G963" s="18"/>
      <c r="H963" s="1"/>
      <c r="I963" s="1"/>
      <c r="J963" s="1"/>
      <c r="K963" s="1"/>
    </row>
    <row r="964" spans="1:11" ht="13.2" x14ac:dyDescent="0.25">
      <c r="A964" s="1"/>
      <c r="B964" s="1"/>
      <c r="C964" s="1"/>
      <c r="D964" s="1"/>
      <c r="E964" s="1"/>
      <c r="F964" s="1"/>
      <c r="G964" s="18"/>
      <c r="H964" s="1"/>
      <c r="I964" s="1"/>
      <c r="J964" s="1"/>
      <c r="K964" s="1"/>
    </row>
    <row r="965" spans="1:11" ht="13.2" x14ac:dyDescent="0.25">
      <c r="A965" s="1"/>
      <c r="B965" s="1"/>
      <c r="C965" s="1"/>
      <c r="D965" s="1"/>
      <c r="E965" s="1"/>
      <c r="F965" s="1"/>
      <c r="G965" s="18"/>
      <c r="H965" s="1"/>
      <c r="I965" s="1"/>
      <c r="J965" s="1"/>
      <c r="K965" s="1"/>
    </row>
    <row r="966" spans="1:11" ht="13.2" x14ac:dyDescent="0.25">
      <c r="A966" s="1"/>
      <c r="B966" s="1"/>
      <c r="C966" s="1"/>
      <c r="D966" s="1"/>
      <c r="E966" s="1"/>
      <c r="F966" s="1"/>
      <c r="G966" s="18"/>
      <c r="H966" s="1"/>
      <c r="I966" s="1"/>
      <c r="J966" s="1"/>
      <c r="K966" s="1"/>
    </row>
    <row r="967" spans="1:11" ht="13.2" x14ac:dyDescent="0.25">
      <c r="A967" s="1"/>
      <c r="B967" s="1"/>
      <c r="C967" s="1"/>
      <c r="D967" s="1"/>
      <c r="E967" s="1"/>
      <c r="F967" s="1"/>
      <c r="G967" s="18"/>
      <c r="H967" s="1"/>
      <c r="I967" s="1"/>
      <c r="J967" s="1"/>
      <c r="K967" s="1"/>
    </row>
    <row r="968" spans="1:11" ht="13.2" x14ac:dyDescent="0.25">
      <c r="A968" s="1"/>
      <c r="B968" s="1"/>
      <c r="C968" s="1"/>
      <c r="D968" s="1"/>
      <c r="E968" s="1"/>
      <c r="F968" s="1"/>
      <c r="G968" s="18"/>
      <c r="H968" s="1"/>
      <c r="I968" s="1"/>
      <c r="J968" s="1"/>
      <c r="K968" s="1"/>
    </row>
    <row r="969" spans="1:11" ht="13.2" x14ac:dyDescent="0.25">
      <c r="A969" s="1"/>
      <c r="B969" s="1"/>
      <c r="C969" s="1"/>
      <c r="D969" s="1"/>
      <c r="E969" s="1"/>
      <c r="F969" s="1"/>
      <c r="G969" s="18"/>
      <c r="H969" s="1"/>
      <c r="I969" s="1"/>
      <c r="J969" s="1"/>
      <c r="K969" s="1"/>
    </row>
    <row r="970" spans="1:11" ht="13.2" x14ac:dyDescent="0.25">
      <c r="A970" s="1"/>
      <c r="B970" s="1"/>
      <c r="C970" s="1"/>
      <c r="D970" s="1"/>
      <c r="E970" s="1"/>
      <c r="F970" s="1"/>
      <c r="G970" s="18"/>
      <c r="H970" s="1"/>
      <c r="I970" s="1"/>
      <c r="J970" s="1"/>
      <c r="K970" s="1"/>
    </row>
    <row r="971" spans="1:11" ht="13.2" x14ac:dyDescent="0.25">
      <c r="A971" s="1"/>
      <c r="B971" s="1"/>
      <c r="C971" s="1"/>
      <c r="D971" s="1"/>
      <c r="E971" s="1"/>
      <c r="F971" s="1"/>
      <c r="G971" s="18"/>
      <c r="H971" s="1"/>
      <c r="I971" s="1"/>
      <c r="J971" s="1"/>
      <c r="K971" s="1"/>
    </row>
    <row r="972" spans="1:11" ht="13.2" x14ac:dyDescent="0.25">
      <c r="A972" s="1"/>
      <c r="B972" s="1"/>
      <c r="C972" s="1"/>
      <c r="D972" s="1"/>
      <c r="E972" s="1"/>
      <c r="F972" s="1"/>
      <c r="G972" s="18"/>
      <c r="H972" s="1"/>
      <c r="I972" s="1"/>
      <c r="J972" s="1"/>
      <c r="K972" s="1"/>
    </row>
    <row r="973" spans="1:11" ht="13.2" x14ac:dyDescent="0.25">
      <c r="A973" s="1"/>
      <c r="B973" s="1"/>
      <c r="C973" s="1"/>
      <c r="D973" s="1"/>
      <c r="E973" s="1"/>
      <c r="F973" s="1"/>
      <c r="G973" s="18"/>
      <c r="H973" s="1"/>
      <c r="I973" s="1"/>
      <c r="J973" s="1"/>
      <c r="K973" s="1"/>
    </row>
    <row r="974" spans="1:11" ht="13.2" x14ac:dyDescent="0.25">
      <c r="A974" s="1"/>
      <c r="B974" s="1"/>
      <c r="C974" s="1"/>
      <c r="D974" s="1"/>
      <c r="E974" s="1"/>
      <c r="F974" s="1"/>
      <c r="G974" s="18"/>
      <c r="H974" s="1"/>
      <c r="I974" s="1"/>
      <c r="J974" s="1"/>
      <c r="K974" s="1"/>
    </row>
    <row r="975" spans="1:11" ht="13.2" x14ac:dyDescent="0.25">
      <c r="A975" s="1"/>
      <c r="B975" s="1"/>
      <c r="C975" s="1"/>
      <c r="D975" s="1"/>
      <c r="E975" s="1"/>
      <c r="F975" s="1"/>
      <c r="G975" s="18"/>
      <c r="H975" s="1"/>
      <c r="I975" s="1"/>
      <c r="J975" s="1"/>
      <c r="K975" s="1"/>
    </row>
    <row r="976" spans="1:11" ht="13.2" x14ac:dyDescent="0.25">
      <c r="A976" s="1"/>
      <c r="B976" s="1"/>
      <c r="C976" s="1"/>
      <c r="D976" s="1"/>
      <c r="E976" s="1"/>
      <c r="F976" s="1"/>
      <c r="G976" s="18"/>
      <c r="H976" s="1"/>
      <c r="I976" s="1"/>
      <c r="J976" s="1"/>
      <c r="K976" s="1"/>
    </row>
    <row r="977" spans="1:11" ht="13.2" x14ac:dyDescent="0.25">
      <c r="A977" s="1"/>
      <c r="B977" s="1"/>
      <c r="C977" s="1"/>
      <c r="D977" s="1"/>
      <c r="E977" s="1"/>
      <c r="F977" s="1"/>
      <c r="G977" s="18"/>
      <c r="H977" s="1"/>
      <c r="I977" s="1"/>
      <c r="J977" s="1"/>
      <c r="K977" s="1"/>
    </row>
    <row r="978" spans="1:11" ht="13.2" x14ac:dyDescent="0.25">
      <c r="A978" s="1"/>
      <c r="B978" s="1"/>
      <c r="C978" s="1"/>
      <c r="D978" s="1"/>
      <c r="E978" s="1"/>
      <c r="F978" s="1"/>
      <c r="G978" s="18"/>
      <c r="H978" s="1"/>
      <c r="I978" s="1"/>
      <c r="J978" s="1"/>
      <c r="K978" s="1"/>
    </row>
    <row r="979" spans="1:11" ht="13.2" x14ac:dyDescent="0.25">
      <c r="A979" s="1"/>
      <c r="B979" s="1"/>
      <c r="C979" s="1"/>
      <c r="D979" s="1"/>
      <c r="E979" s="1"/>
      <c r="F979" s="1"/>
      <c r="G979" s="18"/>
      <c r="H979" s="1"/>
      <c r="I979" s="1"/>
      <c r="J979" s="1"/>
      <c r="K979" s="1"/>
    </row>
    <row r="980" spans="1:11" ht="13.2" x14ac:dyDescent="0.25">
      <c r="A980" s="1"/>
      <c r="B980" s="1"/>
      <c r="C980" s="1"/>
      <c r="D980" s="1"/>
      <c r="E980" s="1"/>
      <c r="F980" s="1"/>
      <c r="G980" s="18"/>
      <c r="H980" s="1"/>
      <c r="I980" s="1"/>
      <c r="J980" s="1"/>
      <c r="K980" s="1"/>
    </row>
    <row r="981" spans="1:11" ht="13.2" x14ac:dyDescent="0.25">
      <c r="A981" s="1"/>
      <c r="B981" s="1"/>
      <c r="C981" s="1"/>
      <c r="D981" s="1"/>
      <c r="E981" s="1"/>
      <c r="F981" s="1"/>
      <c r="G981" s="18"/>
      <c r="H981" s="1"/>
      <c r="I981" s="1"/>
      <c r="J981" s="1"/>
      <c r="K981" s="1"/>
    </row>
    <row r="982" spans="1:11" ht="13.2" x14ac:dyDescent="0.25">
      <c r="A982" s="1"/>
      <c r="B982" s="1"/>
      <c r="C982" s="1"/>
      <c r="D982" s="1"/>
      <c r="E982" s="1"/>
      <c r="F982" s="1"/>
      <c r="G982" s="18"/>
      <c r="H982" s="1"/>
      <c r="I982" s="1"/>
      <c r="J982" s="1"/>
      <c r="K982" s="1"/>
    </row>
    <row r="983" spans="1:11" ht="13.2" x14ac:dyDescent="0.25">
      <c r="A983" s="1"/>
      <c r="B983" s="1"/>
      <c r="C983" s="1"/>
      <c r="D983" s="1"/>
      <c r="E983" s="1"/>
      <c r="F983" s="1"/>
      <c r="G983" s="18"/>
      <c r="H983" s="1"/>
      <c r="I983" s="1"/>
      <c r="J983" s="1"/>
      <c r="K983" s="1"/>
    </row>
    <row r="984" spans="1:11" ht="13.2" x14ac:dyDescent="0.25">
      <c r="A984" s="1"/>
      <c r="B984" s="1"/>
      <c r="C984" s="1"/>
      <c r="D984" s="1"/>
      <c r="E984" s="1"/>
      <c r="F984" s="1"/>
      <c r="G984" s="18"/>
      <c r="H984" s="1"/>
      <c r="I984" s="1"/>
      <c r="J984" s="1"/>
      <c r="K984" s="1"/>
    </row>
    <row r="985" spans="1:11" ht="13.2" x14ac:dyDescent="0.25">
      <c r="A985" s="1"/>
      <c r="B985" s="1"/>
      <c r="C985" s="1"/>
      <c r="D985" s="1"/>
      <c r="E985" s="1"/>
      <c r="F985" s="1"/>
      <c r="G985" s="18"/>
      <c r="H985" s="1"/>
      <c r="I985" s="1"/>
      <c r="J985" s="1"/>
      <c r="K985" s="1"/>
    </row>
    <row r="986" spans="1:11" ht="13.2" x14ac:dyDescent="0.25">
      <c r="A986" s="1"/>
      <c r="B986" s="1"/>
      <c r="C986" s="1"/>
      <c r="D986" s="1"/>
      <c r="E986" s="1"/>
      <c r="F986" s="1"/>
      <c r="G986" s="18"/>
      <c r="H986" s="1"/>
      <c r="I986" s="1"/>
      <c r="J986" s="1"/>
      <c r="K986" s="1"/>
    </row>
    <row r="987" spans="1:11" ht="13.2" x14ac:dyDescent="0.25">
      <c r="A987" s="1"/>
      <c r="B987" s="1"/>
      <c r="C987" s="1"/>
      <c r="D987" s="1"/>
      <c r="E987" s="1"/>
      <c r="F987" s="1"/>
      <c r="G987" s="18"/>
      <c r="H987" s="1"/>
      <c r="I987" s="1"/>
      <c r="J987" s="1"/>
      <c r="K987" s="1"/>
    </row>
    <row r="988" spans="1:11" ht="13.2" x14ac:dyDescent="0.25">
      <c r="A988" s="1"/>
      <c r="B988" s="1"/>
      <c r="C988" s="1"/>
      <c r="D988" s="1"/>
      <c r="E988" s="1"/>
      <c r="F988" s="1"/>
      <c r="G988" s="18"/>
      <c r="H988" s="1"/>
      <c r="I988" s="1"/>
      <c r="J988" s="1"/>
      <c r="K988" s="1"/>
    </row>
    <row r="989" spans="1:11" ht="13.2" x14ac:dyDescent="0.25">
      <c r="A989" s="1"/>
      <c r="B989" s="1"/>
      <c r="C989" s="1"/>
      <c r="D989" s="1"/>
      <c r="E989" s="1"/>
      <c r="F989" s="1"/>
      <c r="G989" s="18"/>
      <c r="H989" s="1"/>
      <c r="I989" s="1"/>
      <c r="J989" s="1"/>
      <c r="K989" s="1"/>
    </row>
    <row r="990" spans="1:11" ht="13.2" x14ac:dyDescent="0.25">
      <c r="A990" s="1"/>
      <c r="B990" s="1"/>
      <c r="C990" s="1"/>
      <c r="D990" s="1"/>
      <c r="E990" s="1"/>
      <c r="F990" s="1"/>
      <c r="G990" s="18"/>
      <c r="H990" s="1"/>
      <c r="I990" s="1"/>
      <c r="J990" s="1"/>
      <c r="K990" s="1"/>
    </row>
    <row r="991" spans="1:11" ht="13.2" x14ac:dyDescent="0.25">
      <c r="A991" s="1"/>
      <c r="B991" s="1"/>
      <c r="C991" s="1"/>
      <c r="D991" s="1"/>
      <c r="E991" s="1"/>
      <c r="F991" s="1"/>
      <c r="G991" s="18"/>
      <c r="H991" s="1"/>
      <c r="I991" s="1"/>
      <c r="J991" s="1"/>
      <c r="K991" s="1"/>
    </row>
    <row r="992" spans="1:11" ht="13.2" x14ac:dyDescent="0.25">
      <c r="A992" s="1"/>
      <c r="B992" s="1"/>
      <c r="C992" s="1"/>
      <c r="D992" s="1"/>
      <c r="E992" s="1"/>
      <c r="F992" s="1"/>
      <c r="G992" s="18"/>
      <c r="H992" s="1"/>
      <c r="I992" s="1"/>
      <c r="J992" s="1"/>
      <c r="K992" s="1"/>
    </row>
    <row r="993" spans="1:11" ht="13.2" x14ac:dyDescent="0.25">
      <c r="A993" s="1"/>
      <c r="B993" s="1"/>
      <c r="C993" s="1"/>
      <c r="D993" s="1"/>
      <c r="E993" s="1"/>
      <c r="F993" s="1"/>
      <c r="G993" s="18"/>
      <c r="H993" s="1"/>
      <c r="I993" s="1"/>
      <c r="J993" s="1"/>
      <c r="K993" s="1"/>
    </row>
    <row r="994" spans="1:11" ht="13.2" x14ac:dyDescent="0.25">
      <c r="A994" s="1"/>
      <c r="B994" s="1"/>
      <c r="C994" s="1"/>
      <c r="D994" s="1"/>
      <c r="E994" s="1"/>
      <c r="F994" s="1"/>
      <c r="G994" s="18"/>
      <c r="H994" s="1"/>
      <c r="I994" s="1"/>
      <c r="J994" s="1"/>
      <c r="K994" s="1"/>
    </row>
    <row r="995" spans="1:11" ht="13.2" x14ac:dyDescent="0.25">
      <c r="A995" s="1"/>
      <c r="B995" s="1"/>
      <c r="C995" s="1"/>
      <c r="D995" s="1"/>
      <c r="E995" s="1"/>
      <c r="F995" s="1"/>
      <c r="G995" s="18"/>
      <c r="H995" s="1"/>
      <c r="I995" s="1"/>
      <c r="J995" s="1"/>
      <c r="K995" s="1"/>
    </row>
    <row r="996" spans="1:11" ht="13.2" x14ac:dyDescent="0.25">
      <c r="A996" s="1"/>
      <c r="B996" s="1"/>
      <c r="C996" s="1"/>
      <c r="D996" s="1"/>
      <c r="E996" s="1"/>
      <c r="F996" s="1"/>
      <c r="G996" s="18"/>
      <c r="H996" s="1"/>
      <c r="I996" s="1"/>
      <c r="J996" s="1"/>
      <c r="K996" s="1"/>
    </row>
    <row r="997" spans="1:11" ht="13.2" x14ac:dyDescent="0.25">
      <c r="A997" s="1"/>
      <c r="B997" s="1"/>
      <c r="C997" s="1"/>
      <c r="D997" s="1"/>
      <c r="E997" s="1"/>
      <c r="F997" s="1"/>
      <c r="G997" s="18"/>
      <c r="H997" s="1"/>
      <c r="I997" s="1"/>
      <c r="J997" s="1"/>
      <c r="K997" s="1"/>
    </row>
    <row r="998" spans="1:11" ht="13.2" x14ac:dyDescent="0.25">
      <c r="A998" s="1"/>
      <c r="B998" s="1"/>
      <c r="C998" s="1"/>
      <c r="D998" s="1"/>
      <c r="E998" s="1"/>
      <c r="F998" s="1"/>
      <c r="G998" s="18"/>
      <c r="H998" s="1"/>
      <c r="I998" s="1"/>
      <c r="J998" s="1"/>
      <c r="K998" s="1"/>
    </row>
    <row r="999" spans="1:11" ht="13.2" x14ac:dyDescent="0.25">
      <c r="A999" s="1"/>
      <c r="B999" s="1"/>
      <c r="C999" s="1"/>
      <c r="D999" s="1"/>
      <c r="E999" s="1"/>
      <c r="F999" s="1"/>
      <c r="G999" s="18"/>
      <c r="H999" s="1"/>
      <c r="I999" s="1"/>
      <c r="J999" s="1"/>
      <c r="K999" s="1"/>
    </row>
    <row r="1000" spans="1:11" ht="13.2" x14ac:dyDescent="0.25">
      <c r="A1000" s="1"/>
      <c r="B1000" s="1"/>
      <c r="C1000" s="1"/>
      <c r="D1000" s="1"/>
      <c r="E1000" s="1"/>
      <c r="F1000" s="1"/>
      <c r="G1000" s="18"/>
      <c r="H1000" s="1"/>
      <c r="I1000" s="1"/>
      <c r="J1000" s="1"/>
      <c r="K1000" s="1"/>
    </row>
    <row r="1001" spans="1:11" ht="13.2" x14ac:dyDescent="0.25">
      <c r="A1001" s="1"/>
      <c r="B1001" s="1"/>
      <c r="C1001" s="1"/>
      <c r="D1001" s="1"/>
      <c r="E1001" s="1"/>
      <c r="F1001" s="1"/>
      <c r="G1001" s="18"/>
      <c r="H1001" s="1"/>
      <c r="I1001" s="1"/>
      <c r="J1001" s="1"/>
      <c r="K1001" s="1"/>
    </row>
    <row r="1002" spans="1:11" ht="13.2" x14ac:dyDescent="0.25">
      <c r="A1002" s="1"/>
      <c r="B1002" s="1"/>
      <c r="C1002" s="1"/>
      <c r="D1002" s="1"/>
      <c r="E1002" s="1"/>
      <c r="F1002" s="1"/>
      <c r="G1002" s="18"/>
      <c r="H1002" s="1"/>
      <c r="I1002" s="1"/>
      <c r="J1002" s="1"/>
      <c r="K1002" s="1"/>
    </row>
    <row r="1003" spans="1:11" ht="13.2" x14ac:dyDescent="0.25">
      <c r="A1003" s="1"/>
      <c r="B1003" s="1"/>
      <c r="C1003" s="1"/>
      <c r="D1003" s="1"/>
      <c r="E1003" s="1"/>
      <c r="F1003" s="1"/>
      <c r="G1003" s="18"/>
      <c r="H1003" s="1"/>
      <c r="I1003" s="1"/>
      <c r="J1003" s="1"/>
      <c r="K1003" s="1"/>
    </row>
    <row r="1004" spans="1:11" ht="13.2" x14ac:dyDescent="0.25">
      <c r="A1004" s="1"/>
      <c r="B1004" s="1"/>
      <c r="C1004" s="1"/>
      <c r="D1004" s="1"/>
      <c r="E1004" s="1"/>
      <c r="F1004" s="1"/>
      <c r="G1004" s="18"/>
      <c r="H1004" s="1"/>
      <c r="I1004" s="1"/>
      <c r="J1004" s="1"/>
      <c r="K1004" s="1"/>
    </row>
    <row r="1005" spans="1:11" ht="13.2" x14ac:dyDescent="0.25">
      <c r="A1005" s="1"/>
      <c r="B1005" s="1"/>
      <c r="C1005" s="1"/>
      <c r="D1005" s="1"/>
      <c r="E1005" s="1"/>
      <c r="F1005" s="1"/>
      <c r="G1005" s="18"/>
      <c r="H1005" s="1"/>
      <c r="I1005" s="1"/>
      <c r="J1005" s="1"/>
      <c r="K1005" s="1"/>
    </row>
    <row r="1006" spans="1:11" ht="13.2" x14ac:dyDescent="0.25">
      <c r="A1006" s="1"/>
      <c r="B1006" s="1"/>
      <c r="C1006" s="1"/>
      <c r="D1006" s="1"/>
      <c r="E1006" s="1"/>
      <c r="F1006" s="1"/>
      <c r="G1006" s="18"/>
      <c r="H1006" s="1"/>
      <c r="I1006" s="1"/>
      <c r="J1006" s="1"/>
      <c r="K1006" s="1"/>
    </row>
    <row r="1007" spans="1:11" ht="13.2" x14ac:dyDescent="0.25">
      <c r="A1007" s="1"/>
      <c r="B1007" s="1"/>
      <c r="C1007" s="1"/>
      <c r="D1007" s="1"/>
      <c r="E1007" s="1"/>
      <c r="F1007" s="1"/>
      <c r="G1007" s="18"/>
      <c r="H1007" s="1"/>
      <c r="I1007" s="1"/>
      <c r="J1007" s="1"/>
      <c r="K1007" s="1"/>
    </row>
    <row r="1008" spans="1:11" ht="13.2" x14ac:dyDescent="0.25">
      <c r="A1008" s="1"/>
      <c r="B1008" s="1"/>
      <c r="C1008" s="1"/>
      <c r="D1008" s="1"/>
      <c r="E1008" s="1"/>
      <c r="F1008" s="1"/>
      <c r="G1008" s="18"/>
      <c r="H1008" s="1"/>
      <c r="I1008" s="1"/>
      <c r="J1008" s="1"/>
      <c r="K1008" s="1"/>
    </row>
    <row r="1009" spans="1:11" ht="13.2" x14ac:dyDescent="0.25">
      <c r="A1009" s="1"/>
      <c r="B1009" s="1"/>
      <c r="C1009" s="1"/>
      <c r="D1009" s="1"/>
      <c r="E1009" s="1"/>
      <c r="F1009" s="1"/>
      <c r="G1009" s="18"/>
      <c r="H1009" s="1"/>
      <c r="I1009" s="1"/>
      <c r="J1009" s="1"/>
      <c r="K1009" s="1"/>
    </row>
    <row r="1010" spans="1:11" ht="13.2" x14ac:dyDescent="0.25">
      <c r="A1010" s="1"/>
      <c r="B1010" s="1"/>
      <c r="C1010" s="1"/>
      <c r="D1010" s="1"/>
      <c r="E1010" s="1"/>
      <c r="F1010" s="1"/>
      <c r="G1010" s="18"/>
      <c r="H1010" s="1"/>
      <c r="I1010" s="1"/>
      <c r="J1010" s="1"/>
      <c r="K1010" s="1"/>
    </row>
    <row r="1011" spans="1:11" ht="13.2" x14ac:dyDescent="0.25">
      <c r="A1011" s="1"/>
      <c r="B1011" s="1"/>
      <c r="C1011" s="1"/>
      <c r="D1011" s="1"/>
      <c r="E1011" s="1"/>
      <c r="F1011" s="1"/>
      <c r="G1011" s="18"/>
      <c r="H1011" s="1"/>
      <c r="I1011" s="1"/>
      <c r="J1011" s="1"/>
      <c r="K1011" s="1"/>
    </row>
    <row r="1012" spans="1:11" ht="13.2" x14ac:dyDescent="0.25">
      <c r="A1012" s="1"/>
      <c r="B1012" s="1"/>
      <c r="C1012" s="1"/>
      <c r="D1012" s="1"/>
      <c r="E1012" s="1"/>
      <c r="F1012" s="1"/>
      <c r="G1012" s="18"/>
      <c r="H1012" s="1"/>
      <c r="I1012" s="1"/>
      <c r="J1012" s="1"/>
      <c r="K1012" s="1"/>
    </row>
    <row r="1013" spans="1:11" ht="13.2" x14ac:dyDescent="0.25">
      <c r="A1013" s="1"/>
      <c r="B1013" s="1"/>
      <c r="C1013" s="1"/>
      <c r="D1013" s="1"/>
      <c r="E1013" s="1"/>
      <c r="F1013" s="1"/>
      <c r="G1013" s="18"/>
      <c r="H1013" s="1"/>
      <c r="I1013" s="1"/>
      <c r="J1013" s="1"/>
      <c r="K1013" s="1"/>
    </row>
    <row r="1014" spans="1:11" ht="13.2" x14ac:dyDescent="0.25">
      <c r="A1014" s="1"/>
      <c r="B1014" s="1"/>
      <c r="C1014" s="1"/>
      <c r="D1014" s="1"/>
      <c r="E1014" s="1"/>
      <c r="F1014" s="1"/>
      <c r="G1014" s="18"/>
      <c r="H1014" s="1"/>
      <c r="I1014" s="1"/>
      <c r="J1014" s="1"/>
      <c r="K1014" s="1"/>
    </row>
    <row r="1015" spans="1:11" ht="13.2" x14ac:dyDescent="0.25">
      <c r="A1015" s="1"/>
      <c r="B1015" s="1"/>
      <c r="C1015" s="1"/>
      <c r="D1015" s="1"/>
      <c r="E1015" s="1"/>
      <c r="F1015" s="1"/>
      <c r="G1015" s="18"/>
      <c r="H1015" s="1"/>
      <c r="I1015" s="1"/>
      <c r="J1015" s="1"/>
      <c r="K1015" s="1"/>
    </row>
    <row r="1016" spans="1:11" ht="13.2" x14ac:dyDescent="0.25">
      <c r="A1016" s="1"/>
      <c r="B1016" s="1"/>
      <c r="C1016" s="1"/>
      <c r="D1016" s="1"/>
      <c r="E1016" s="1"/>
      <c r="F1016" s="1"/>
      <c r="G1016" s="18"/>
      <c r="H1016" s="1"/>
      <c r="I1016" s="1"/>
      <c r="J1016" s="1"/>
      <c r="K1016" s="1"/>
    </row>
    <row r="1017" spans="1:11" ht="13.2" x14ac:dyDescent="0.25">
      <c r="A1017" s="1"/>
      <c r="B1017" s="1"/>
      <c r="C1017" s="1"/>
      <c r="D1017" s="1"/>
      <c r="E1017" s="1"/>
      <c r="F1017" s="1"/>
      <c r="G1017" s="18"/>
      <c r="H1017" s="1"/>
      <c r="I1017" s="1"/>
      <c r="J1017" s="1"/>
      <c r="K1017" s="1"/>
    </row>
    <row r="1018" spans="1:11" ht="13.2" x14ac:dyDescent="0.25">
      <c r="A1018" s="1"/>
      <c r="B1018" s="1"/>
      <c r="C1018" s="1"/>
      <c r="D1018" s="1"/>
      <c r="E1018" s="1"/>
      <c r="F1018" s="1"/>
      <c r="G1018" s="18"/>
      <c r="H1018" s="1"/>
      <c r="I1018" s="1"/>
      <c r="J1018" s="1"/>
      <c r="K1018" s="1"/>
    </row>
    <row r="1019" spans="1:11" ht="13.2" x14ac:dyDescent="0.25">
      <c r="A1019" s="1"/>
      <c r="B1019" s="1"/>
      <c r="C1019" s="1"/>
      <c r="D1019" s="1"/>
      <c r="E1019" s="1"/>
      <c r="F1019" s="1"/>
      <c r="G1019" s="18"/>
      <c r="H1019" s="1"/>
      <c r="I1019" s="1"/>
      <c r="J1019" s="1"/>
      <c r="K1019" s="1"/>
    </row>
    <row r="1020" spans="1:11" ht="13.2" x14ac:dyDescent="0.25">
      <c r="A1020" s="1"/>
      <c r="B1020" s="1"/>
      <c r="C1020" s="1"/>
      <c r="D1020" s="1"/>
      <c r="E1020" s="1"/>
      <c r="F1020" s="1"/>
      <c r="G1020" s="18"/>
      <c r="H1020" s="1"/>
      <c r="I1020" s="1"/>
      <c r="J1020" s="1"/>
      <c r="K1020" s="1"/>
    </row>
    <row r="1021" spans="1:11" ht="13.2" x14ac:dyDescent="0.25">
      <c r="A1021" s="1"/>
      <c r="B1021" s="1"/>
      <c r="C1021" s="1"/>
      <c r="D1021" s="1"/>
      <c r="E1021" s="1"/>
      <c r="F1021" s="1"/>
      <c r="G1021" s="18"/>
      <c r="H1021" s="1"/>
      <c r="I1021" s="1"/>
      <c r="J1021" s="1"/>
      <c r="K1021" s="1"/>
    </row>
    <row r="1022" spans="1:11" ht="13.2" x14ac:dyDescent="0.25">
      <c r="A1022" s="1"/>
      <c r="B1022" s="1"/>
      <c r="C1022" s="1"/>
      <c r="D1022" s="1"/>
      <c r="E1022" s="1"/>
      <c r="F1022" s="1"/>
      <c r="G1022" s="18"/>
      <c r="H1022" s="1"/>
      <c r="I1022" s="1"/>
      <c r="J1022" s="1"/>
      <c r="K1022" s="1"/>
    </row>
    <row r="1023" spans="1:11" ht="13.2" x14ac:dyDescent="0.25">
      <c r="A1023" s="1"/>
      <c r="B1023" s="1"/>
      <c r="C1023" s="1"/>
      <c r="D1023" s="1"/>
      <c r="E1023" s="1"/>
      <c r="F1023" s="1"/>
      <c r="G1023" s="18"/>
      <c r="H1023" s="1"/>
      <c r="I1023" s="1"/>
      <c r="J1023" s="1"/>
      <c r="K1023" s="1"/>
    </row>
    <row r="1024" spans="1:11" ht="13.2" x14ac:dyDescent="0.25">
      <c r="A1024" s="1"/>
      <c r="B1024" s="1"/>
      <c r="C1024" s="1"/>
      <c r="D1024" s="1"/>
      <c r="E1024" s="1"/>
      <c r="F1024" s="1"/>
      <c r="G1024" s="18"/>
      <c r="H1024" s="1"/>
      <c r="I1024" s="1"/>
      <c r="J1024" s="1"/>
      <c r="K1024" s="1"/>
    </row>
    <row r="1025" spans="1:11" ht="13.2" x14ac:dyDescent="0.25">
      <c r="A1025" s="1"/>
      <c r="B1025" s="1"/>
      <c r="C1025" s="1"/>
      <c r="D1025" s="1"/>
      <c r="E1025" s="1"/>
      <c r="F1025" s="1"/>
      <c r="G1025" s="18"/>
      <c r="H1025" s="1"/>
      <c r="I1025" s="1"/>
      <c r="J1025" s="1"/>
      <c r="K1025" s="1"/>
    </row>
    <row r="1026" spans="1:11" ht="13.2" x14ac:dyDescent="0.25">
      <c r="A1026" s="1"/>
      <c r="B1026" s="1"/>
      <c r="C1026" s="1"/>
      <c r="D1026" s="1"/>
      <c r="E1026" s="1"/>
      <c r="F1026" s="1"/>
      <c r="G1026" s="18"/>
      <c r="H1026" s="1"/>
      <c r="I1026" s="1"/>
      <c r="J1026" s="1"/>
      <c r="K1026" s="1"/>
    </row>
    <row r="1027" spans="1:11" ht="13.2" x14ac:dyDescent="0.25">
      <c r="A1027" s="1"/>
      <c r="B1027" s="1"/>
      <c r="C1027" s="1"/>
      <c r="D1027" s="1"/>
      <c r="E1027" s="1"/>
      <c r="F1027" s="1"/>
      <c r="G1027" s="18"/>
      <c r="H1027" s="1"/>
      <c r="I1027" s="1"/>
      <c r="J1027" s="1"/>
      <c r="K1027" s="1"/>
    </row>
    <row r="1028" spans="1:11" ht="13.2" x14ac:dyDescent="0.25">
      <c r="A1028" s="1"/>
      <c r="B1028" s="1"/>
      <c r="C1028" s="1"/>
      <c r="D1028" s="1"/>
      <c r="E1028" s="1"/>
      <c r="F1028" s="1"/>
      <c r="G1028" s="18"/>
      <c r="H1028" s="1"/>
      <c r="I1028" s="1"/>
      <c r="J1028" s="1"/>
      <c r="K1028" s="1"/>
    </row>
    <row r="1029" spans="1:11" ht="13.2" x14ac:dyDescent="0.25">
      <c r="A1029" s="1"/>
      <c r="B1029" s="1"/>
      <c r="C1029" s="1"/>
      <c r="D1029" s="1"/>
      <c r="E1029" s="1"/>
      <c r="F1029" s="1"/>
      <c r="G1029" s="18"/>
      <c r="H1029" s="1"/>
      <c r="I1029" s="1"/>
      <c r="J1029" s="1"/>
      <c r="K1029" s="1"/>
    </row>
    <row r="1030" spans="1:11" ht="13.2" x14ac:dyDescent="0.25">
      <c r="A1030" s="1"/>
      <c r="B1030" s="1"/>
      <c r="C1030" s="1"/>
      <c r="D1030" s="1"/>
      <c r="E1030" s="1"/>
      <c r="F1030" s="1"/>
      <c r="G1030" s="18"/>
      <c r="H1030" s="1"/>
      <c r="I1030" s="1"/>
      <c r="J1030" s="1"/>
      <c r="K1030" s="1"/>
    </row>
    <row r="1031" spans="1:11" ht="13.2" x14ac:dyDescent="0.25">
      <c r="A1031" s="1"/>
      <c r="B1031" s="1"/>
      <c r="C1031" s="1"/>
      <c r="D1031" s="1"/>
      <c r="E1031" s="1"/>
      <c r="F1031" s="1"/>
      <c r="G1031" s="18"/>
      <c r="H1031" s="1"/>
      <c r="I1031" s="1"/>
      <c r="J1031" s="1"/>
      <c r="K1031" s="1"/>
    </row>
    <row r="1032" spans="1:11" ht="13.2" x14ac:dyDescent="0.25">
      <c r="A1032" s="1"/>
      <c r="B1032" s="1"/>
      <c r="C1032" s="1"/>
      <c r="D1032" s="1"/>
      <c r="E1032" s="1"/>
      <c r="F1032" s="1"/>
      <c r="G1032" s="18"/>
      <c r="H1032" s="1"/>
      <c r="I1032" s="1"/>
      <c r="J1032" s="1"/>
      <c r="K1032" s="1"/>
    </row>
    <row r="1033" spans="1:11" ht="13.2" x14ac:dyDescent="0.25">
      <c r="A1033" s="1"/>
      <c r="B1033" s="1"/>
      <c r="C1033" s="1"/>
      <c r="D1033" s="1"/>
      <c r="E1033" s="1"/>
      <c r="F1033" s="1"/>
      <c r="G1033" s="18"/>
      <c r="H1033" s="1"/>
      <c r="I1033" s="1"/>
      <c r="J1033" s="1"/>
      <c r="K1033" s="1"/>
    </row>
    <row r="1034" spans="1:11" ht="13.2" x14ac:dyDescent="0.25">
      <c r="A1034" s="1"/>
      <c r="B1034" s="1"/>
      <c r="C1034" s="1"/>
      <c r="D1034" s="1"/>
      <c r="E1034" s="1"/>
      <c r="F1034" s="1"/>
      <c r="G1034" s="18"/>
      <c r="H1034" s="1"/>
      <c r="I1034" s="1"/>
      <c r="J1034" s="1"/>
      <c r="K1034" s="1"/>
    </row>
    <row r="1035" spans="1:11" ht="13.2" x14ac:dyDescent="0.25">
      <c r="A1035" s="1"/>
      <c r="B1035" s="1"/>
      <c r="C1035" s="1"/>
      <c r="D1035" s="1"/>
      <c r="E1035" s="1"/>
      <c r="F1035" s="1"/>
      <c r="G1035" s="18"/>
      <c r="H1035" s="1"/>
      <c r="I1035" s="1"/>
      <c r="J1035" s="1"/>
      <c r="K1035" s="1"/>
    </row>
    <row r="1036" spans="1:11" ht="13.2" x14ac:dyDescent="0.25">
      <c r="A1036" s="1"/>
      <c r="B1036" s="1"/>
      <c r="C1036" s="1"/>
      <c r="D1036" s="1"/>
      <c r="E1036" s="1"/>
      <c r="F1036" s="1"/>
      <c r="G1036" s="18"/>
      <c r="H1036" s="1"/>
      <c r="I1036" s="1"/>
      <c r="J1036" s="1"/>
      <c r="K1036" s="1"/>
    </row>
    <row r="1037" spans="1:11" ht="13.2" x14ac:dyDescent="0.25">
      <c r="A1037" s="1"/>
      <c r="B1037" s="1"/>
      <c r="C1037" s="1"/>
      <c r="D1037" s="1"/>
      <c r="E1037" s="1"/>
      <c r="F1037" s="1"/>
      <c r="G1037" s="18"/>
      <c r="H1037" s="1"/>
      <c r="I1037" s="1"/>
      <c r="J1037" s="1"/>
      <c r="K1037" s="1"/>
    </row>
    <row r="1038" spans="1:11" ht="13.2" x14ac:dyDescent="0.25">
      <c r="A1038" s="1"/>
      <c r="B1038" s="1"/>
      <c r="C1038" s="1"/>
      <c r="D1038" s="1"/>
      <c r="E1038" s="1"/>
      <c r="F1038" s="1"/>
      <c r="G1038" s="18"/>
      <c r="H1038" s="1"/>
      <c r="I1038" s="1"/>
      <c r="J1038" s="1"/>
      <c r="K1038" s="1"/>
    </row>
    <row r="1039" spans="1:11" ht="13.2" x14ac:dyDescent="0.25">
      <c r="A1039" s="1"/>
      <c r="B1039" s="1"/>
      <c r="C1039" s="1"/>
      <c r="D1039" s="1"/>
      <c r="E1039" s="1"/>
      <c r="F1039" s="1"/>
      <c r="G1039" s="18"/>
      <c r="H1039" s="1"/>
      <c r="I1039" s="1"/>
      <c r="J1039" s="1"/>
      <c r="K1039" s="1"/>
    </row>
  </sheetData>
  <mergeCells count="18">
    <mergeCell ref="E130:E139"/>
    <mergeCell ref="E140:E149"/>
    <mergeCell ref="E150:E159"/>
    <mergeCell ref="E160:E169"/>
    <mergeCell ref="E34:E43"/>
    <mergeCell ref="E46:E55"/>
    <mergeCell ref="E56:E65"/>
    <mergeCell ref="E66:E75"/>
    <mergeCell ref="E76:E85"/>
    <mergeCell ref="E88:E97"/>
    <mergeCell ref="E98:E107"/>
    <mergeCell ref="E14:E23"/>
    <mergeCell ref="E24:E33"/>
    <mergeCell ref="E108:E117"/>
    <mergeCell ref="E118:E127"/>
    <mergeCell ref="F1:G1"/>
    <mergeCell ref="H1:I1"/>
    <mergeCell ref="E4:E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958"/>
  <sheetViews>
    <sheetView workbookViewId="0">
      <pane ySplit="2" topLeftCell="A3" activePane="bottomLeft" state="frozen"/>
      <selection pane="bottomLeft" activeCell="K8" sqref="K8"/>
    </sheetView>
  </sheetViews>
  <sheetFormatPr defaultColWidth="12.6640625" defaultRowHeight="15.75" customHeight="1" x14ac:dyDescent="0.25"/>
  <cols>
    <col min="1" max="1" width="2.33203125" customWidth="1"/>
    <col min="3" max="3" width="21.88671875" customWidth="1"/>
    <col min="5" max="5" width="14.21875" customWidth="1"/>
    <col min="6" max="6" width="15.77734375" customWidth="1"/>
  </cols>
  <sheetData>
    <row r="1" spans="1:18" ht="19.2" x14ac:dyDescent="0.25">
      <c r="A1" s="1"/>
      <c r="B1" s="1"/>
      <c r="C1" s="1"/>
      <c r="D1" s="170" t="s">
        <v>0</v>
      </c>
      <c r="E1" s="171"/>
      <c r="F1" s="170" t="s">
        <v>1</v>
      </c>
      <c r="G1" s="17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6.75" customHeight="1" x14ac:dyDescent="0.25">
      <c r="A2" s="1"/>
      <c r="B2" s="102" t="s">
        <v>2</v>
      </c>
      <c r="C2" s="102" t="s">
        <v>4</v>
      </c>
      <c r="D2" s="119" t="s">
        <v>5</v>
      </c>
      <c r="E2" s="6" t="s">
        <v>6</v>
      </c>
      <c r="F2" s="7" t="s">
        <v>5</v>
      </c>
      <c r="G2" s="8">
        <v>46235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.2" x14ac:dyDescent="0.25">
      <c r="A3" s="1"/>
      <c r="B3" s="120" t="s">
        <v>1760</v>
      </c>
      <c r="C3" s="121"/>
      <c r="D3" s="12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6" x14ac:dyDescent="0.25">
      <c r="A4" s="1"/>
      <c r="B4" s="37" t="s">
        <v>1769</v>
      </c>
      <c r="C4" s="38"/>
      <c r="D4" s="38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6" x14ac:dyDescent="0.25">
      <c r="A5" s="1"/>
      <c r="B5" s="21" t="s">
        <v>54</v>
      </c>
      <c r="C5" s="21">
        <v>75</v>
      </c>
      <c r="D5" s="122" t="s">
        <v>1777</v>
      </c>
      <c r="E5" s="27">
        <v>72.7</v>
      </c>
      <c r="F5" s="122" t="s">
        <v>1783</v>
      </c>
      <c r="G5" s="27">
        <v>73.5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6" x14ac:dyDescent="0.25">
      <c r="A6" s="1"/>
      <c r="B6" s="66">
        <v>3</v>
      </c>
      <c r="C6" s="21">
        <v>90</v>
      </c>
      <c r="D6" s="114" t="s">
        <v>1788</v>
      </c>
      <c r="E6" s="27">
        <v>106.8</v>
      </c>
      <c r="F6" s="122" t="s">
        <v>1791</v>
      </c>
      <c r="G6" s="27">
        <v>90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6" x14ac:dyDescent="0.25">
      <c r="A7" s="1"/>
      <c r="B7" s="66">
        <v>4</v>
      </c>
      <c r="C7" s="21">
        <v>110</v>
      </c>
      <c r="D7" s="114" t="s">
        <v>1795</v>
      </c>
      <c r="E7" s="27">
        <v>152.80000000000001</v>
      </c>
      <c r="F7" s="122" t="s">
        <v>1797</v>
      </c>
      <c r="G7" s="27">
        <v>141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6" x14ac:dyDescent="0.25">
      <c r="A8" s="1"/>
      <c r="B8" s="21">
        <v>6</v>
      </c>
      <c r="C8" s="21">
        <v>160</v>
      </c>
      <c r="D8" s="114" t="s">
        <v>1800</v>
      </c>
      <c r="E8" s="27">
        <v>370</v>
      </c>
      <c r="F8" s="122" t="s">
        <v>1803</v>
      </c>
      <c r="G8" s="27">
        <v>397.5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3.2" x14ac:dyDescent="0.25">
      <c r="A9" s="1"/>
      <c r="B9" s="34"/>
      <c r="C9" s="34"/>
      <c r="D9" s="123"/>
      <c r="E9" s="14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6" x14ac:dyDescent="0.25">
      <c r="A10" s="1"/>
      <c r="B10" s="37" t="s">
        <v>1811</v>
      </c>
      <c r="C10" s="37"/>
      <c r="D10" s="37"/>
      <c r="E10" s="14"/>
      <c r="F10" s="1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6" x14ac:dyDescent="0.25">
      <c r="A11" s="1"/>
      <c r="B11" s="20" t="s">
        <v>54</v>
      </c>
      <c r="C11" s="20">
        <v>75</v>
      </c>
      <c r="D11" s="114" t="s">
        <v>1817</v>
      </c>
      <c r="E11" s="27">
        <v>98</v>
      </c>
      <c r="F11" s="122" t="s">
        <v>1820</v>
      </c>
      <c r="G11" s="27">
        <v>94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6" x14ac:dyDescent="0.25">
      <c r="A12" s="1"/>
      <c r="B12" s="66">
        <v>3</v>
      </c>
      <c r="C12" s="21">
        <v>90</v>
      </c>
      <c r="D12" s="114" t="s">
        <v>1823</v>
      </c>
      <c r="E12" s="27">
        <v>132</v>
      </c>
      <c r="F12" s="122" t="s">
        <v>1824</v>
      </c>
      <c r="G12" s="27">
        <v>157.5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6" x14ac:dyDescent="0.25">
      <c r="A13" s="1"/>
      <c r="B13" s="66">
        <v>4</v>
      </c>
      <c r="C13" s="21">
        <v>110</v>
      </c>
      <c r="D13" s="114" t="s">
        <v>1825</v>
      </c>
      <c r="E13" s="27">
        <v>224</v>
      </c>
      <c r="F13" s="122" t="s">
        <v>1826</v>
      </c>
      <c r="G13" s="27">
        <v>188.25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6" x14ac:dyDescent="0.25">
      <c r="A14" s="1"/>
      <c r="B14" s="21">
        <v>6</v>
      </c>
      <c r="C14" s="21">
        <v>160</v>
      </c>
      <c r="D14" s="114" t="s">
        <v>1829</v>
      </c>
      <c r="E14" s="27">
        <v>480</v>
      </c>
      <c r="F14" s="122" t="s">
        <v>1830</v>
      </c>
      <c r="G14" s="27">
        <v>502.5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3.2" x14ac:dyDescent="0.25">
      <c r="A15" s="1"/>
      <c r="B15" s="34"/>
      <c r="C15" s="34"/>
      <c r="D15" s="123"/>
      <c r="E15" s="14"/>
      <c r="F15" s="1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6" x14ac:dyDescent="0.25">
      <c r="A16" s="1"/>
      <c r="B16" s="37" t="s">
        <v>1835</v>
      </c>
      <c r="C16" s="37"/>
      <c r="D16" s="37"/>
      <c r="E16" s="14"/>
      <c r="F16" s="1"/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6" x14ac:dyDescent="0.25">
      <c r="A17" s="1"/>
      <c r="B17" s="21" t="s">
        <v>54</v>
      </c>
      <c r="C17" s="21">
        <v>75</v>
      </c>
      <c r="D17" s="114" t="s">
        <v>1838</v>
      </c>
      <c r="E17" s="27">
        <v>108.3</v>
      </c>
      <c r="F17" s="122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6" x14ac:dyDescent="0.25">
      <c r="A18" s="1"/>
      <c r="B18" s="66">
        <v>4</v>
      </c>
      <c r="C18" s="21">
        <v>110</v>
      </c>
      <c r="D18" s="114" t="s">
        <v>1841</v>
      </c>
      <c r="E18" s="27">
        <v>226</v>
      </c>
      <c r="F18" s="122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3.2" x14ac:dyDescent="0.25">
      <c r="A19" s="1"/>
      <c r="B19" s="34"/>
      <c r="C19" s="34"/>
      <c r="D19" s="123"/>
      <c r="E19" s="14"/>
      <c r="F19" s="1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6" x14ac:dyDescent="0.25">
      <c r="A20" s="1"/>
      <c r="B20" s="37" t="s">
        <v>1844</v>
      </c>
      <c r="C20" s="37"/>
      <c r="D20" s="37"/>
      <c r="E20" s="14"/>
      <c r="F20" s="1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6" x14ac:dyDescent="0.25">
      <c r="A21" s="1"/>
      <c r="B21" s="21" t="s">
        <v>54</v>
      </c>
      <c r="C21" s="21">
        <v>75</v>
      </c>
      <c r="D21" s="114" t="s">
        <v>1848</v>
      </c>
      <c r="E21" s="27">
        <v>66.400000000000006</v>
      </c>
      <c r="F21" s="122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6" x14ac:dyDescent="0.25">
      <c r="A22" s="1"/>
      <c r="B22" s="66">
        <v>3</v>
      </c>
      <c r="C22" s="21">
        <v>90</v>
      </c>
      <c r="D22" s="114" t="s">
        <v>1851</v>
      </c>
      <c r="E22" s="27">
        <v>92</v>
      </c>
      <c r="F22" s="122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6" x14ac:dyDescent="0.25">
      <c r="A23" s="1"/>
      <c r="B23" s="66">
        <v>4</v>
      </c>
      <c r="C23" s="21">
        <v>110</v>
      </c>
      <c r="D23" s="114" t="s">
        <v>1855</v>
      </c>
      <c r="E23" s="27">
        <v>136</v>
      </c>
      <c r="F23" s="122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6" x14ac:dyDescent="0.25">
      <c r="A24" s="1"/>
      <c r="B24" s="21">
        <v>6</v>
      </c>
      <c r="C24" s="21">
        <v>160</v>
      </c>
      <c r="D24" s="114" t="s">
        <v>1857</v>
      </c>
      <c r="E24" s="27">
        <v>299</v>
      </c>
      <c r="F24" s="122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3.2" x14ac:dyDescent="0.25">
      <c r="A25" s="1"/>
      <c r="B25" s="34"/>
      <c r="C25" s="34"/>
      <c r="D25" s="123"/>
      <c r="E25" s="14"/>
      <c r="F25" s="1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6" x14ac:dyDescent="0.25">
      <c r="A26" s="1"/>
      <c r="B26" s="37" t="s">
        <v>1862</v>
      </c>
      <c r="C26" s="37"/>
      <c r="D26" s="37"/>
      <c r="E26" s="14"/>
      <c r="F26" s="1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6" x14ac:dyDescent="0.25">
      <c r="A27" s="1"/>
      <c r="B27" s="21" t="s">
        <v>54</v>
      </c>
      <c r="C27" s="21">
        <v>75</v>
      </c>
      <c r="D27" s="114" t="s">
        <v>1865</v>
      </c>
      <c r="E27" s="27">
        <v>164</v>
      </c>
      <c r="F27" s="114" t="s">
        <v>1867</v>
      </c>
      <c r="G27" s="27">
        <v>220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6" x14ac:dyDescent="0.25">
      <c r="A28" s="1"/>
      <c r="B28" s="66">
        <v>4</v>
      </c>
      <c r="C28" s="21">
        <v>110</v>
      </c>
      <c r="D28" s="114" t="s">
        <v>1870</v>
      </c>
      <c r="E28" s="27">
        <v>326</v>
      </c>
      <c r="F28" s="122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3.2" x14ac:dyDescent="0.25">
      <c r="A29" s="1"/>
      <c r="B29" s="34"/>
      <c r="C29" s="34"/>
      <c r="D29" s="123"/>
      <c r="E29" s="14"/>
      <c r="F29" s="1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6" x14ac:dyDescent="0.25">
      <c r="A30" s="1"/>
      <c r="B30" s="37" t="s">
        <v>1874</v>
      </c>
      <c r="C30" s="37"/>
      <c r="D30" s="37"/>
      <c r="E30" s="14"/>
      <c r="F30" s="1"/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6" x14ac:dyDescent="0.25">
      <c r="A31" s="1"/>
      <c r="B31" s="21" t="s">
        <v>54</v>
      </c>
      <c r="C31" s="21">
        <v>75</v>
      </c>
      <c r="D31" s="114" t="s">
        <v>1877</v>
      </c>
      <c r="E31" s="27">
        <v>134.69999999999999</v>
      </c>
      <c r="F31" s="122" t="s">
        <v>1878</v>
      </c>
      <c r="G31" s="27">
        <v>132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6" x14ac:dyDescent="0.25">
      <c r="A32" s="1"/>
      <c r="B32" s="66">
        <v>3</v>
      </c>
      <c r="C32" s="21">
        <v>90</v>
      </c>
      <c r="D32" s="114" t="s">
        <v>1880</v>
      </c>
      <c r="E32" s="27">
        <v>196</v>
      </c>
      <c r="F32" s="122" t="s">
        <v>1882</v>
      </c>
      <c r="G32" s="27">
        <v>195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6" x14ac:dyDescent="0.25">
      <c r="A33" s="1"/>
      <c r="B33" s="66">
        <v>4</v>
      </c>
      <c r="C33" s="21">
        <v>110</v>
      </c>
      <c r="D33" s="114" t="s">
        <v>1885</v>
      </c>
      <c r="E33" s="27">
        <v>258</v>
      </c>
      <c r="F33" s="122" t="s">
        <v>1887</v>
      </c>
      <c r="G33" s="27">
        <v>268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6" x14ac:dyDescent="0.25">
      <c r="A34" s="1"/>
      <c r="B34" s="66">
        <v>6</v>
      </c>
      <c r="C34" s="21">
        <v>160</v>
      </c>
      <c r="D34" s="114" t="s">
        <v>1888</v>
      </c>
      <c r="E34" s="27">
        <v>648</v>
      </c>
      <c r="F34" s="122" t="s">
        <v>1890</v>
      </c>
      <c r="G34" s="27">
        <v>714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2" x14ac:dyDescent="0.25">
      <c r="A35" s="1"/>
      <c r="B35" s="34"/>
      <c r="C35" s="34"/>
      <c r="D35" s="123"/>
      <c r="E35" s="14"/>
      <c r="F35" s="1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6" x14ac:dyDescent="0.25">
      <c r="A36" s="1"/>
      <c r="B36" s="37" t="s">
        <v>1893</v>
      </c>
      <c r="C36" s="37"/>
      <c r="D36" s="37"/>
      <c r="E36" s="14"/>
      <c r="F36" s="1"/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6" x14ac:dyDescent="0.25">
      <c r="A37" s="1"/>
      <c r="B37" s="21" t="s">
        <v>54</v>
      </c>
      <c r="C37" s="21">
        <v>75</v>
      </c>
      <c r="D37" s="114" t="s">
        <v>1896</v>
      </c>
      <c r="E37" s="27">
        <v>88</v>
      </c>
      <c r="F37" s="122" t="s">
        <v>1898</v>
      </c>
      <c r="G37" s="27">
        <v>81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6" x14ac:dyDescent="0.25">
      <c r="A38" s="1"/>
      <c r="B38" s="66">
        <v>3</v>
      </c>
      <c r="C38" s="21">
        <v>90</v>
      </c>
      <c r="D38" s="114" t="s">
        <v>1900</v>
      </c>
      <c r="E38" s="27">
        <v>128</v>
      </c>
      <c r="F38" s="122" t="s">
        <v>1902</v>
      </c>
      <c r="G38" s="27">
        <v>124.5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6" x14ac:dyDescent="0.25">
      <c r="A39" s="1"/>
      <c r="B39" s="66">
        <v>4</v>
      </c>
      <c r="C39" s="21">
        <v>110</v>
      </c>
      <c r="D39" s="114" t="s">
        <v>1905</v>
      </c>
      <c r="E39" s="27">
        <v>188</v>
      </c>
      <c r="F39" s="122" t="s">
        <v>1907</v>
      </c>
      <c r="G39" s="27">
        <v>147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6" x14ac:dyDescent="0.25">
      <c r="A40" s="1"/>
      <c r="B40" s="21">
        <v>6</v>
      </c>
      <c r="C40" s="21">
        <v>160</v>
      </c>
      <c r="D40" s="114" t="s">
        <v>1909</v>
      </c>
      <c r="E40" s="27">
        <v>478</v>
      </c>
      <c r="F40" s="122" t="s">
        <v>1910</v>
      </c>
      <c r="G40" s="27">
        <v>472.5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3.2" x14ac:dyDescent="0.25">
      <c r="A41" s="1"/>
      <c r="B41" s="34"/>
      <c r="C41" s="34"/>
      <c r="D41" s="123"/>
      <c r="E41" s="14"/>
      <c r="F41" s="1"/>
      <c r="G41" s="1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6" x14ac:dyDescent="0.25">
      <c r="A42" s="1"/>
      <c r="B42" s="37" t="s">
        <v>1916</v>
      </c>
      <c r="C42" s="37"/>
      <c r="D42" s="37"/>
      <c r="E42" s="14"/>
      <c r="F42" s="1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6" x14ac:dyDescent="0.25">
      <c r="A43" s="1"/>
      <c r="B43" s="21" t="s">
        <v>54</v>
      </c>
      <c r="C43" s="21">
        <v>75</v>
      </c>
      <c r="D43" s="114" t="s">
        <v>1922</v>
      </c>
      <c r="E43" s="27">
        <v>108</v>
      </c>
      <c r="F43" s="122"/>
      <c r="G43" s="2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6" x14ac:dyDescent="0.25">
      <c r="A44" s="1"/>
      <c r="B44" s="66">
        <v>4</v>
      </c>
      <c r="C44" s="21">
        <v>110</v>
      </c>
      <c r="D44" s="114" t="s">
        <v>1924</v>
      </c>
      <c r="E44" s="27">
        <v>224</v>
      </c>
      <c r="F44" s="122"/>
      <c r="G44" s="2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3.2" x14ac:dyDescent="0.25">
      <c r="A45" s="1"/>
      <c r="B45" s="34"/>
      <c r="C45" s="34"/>
      <c r="D45" s="123"/>
      <c r="E45" s="14"/>
      <c r="F45" s="1"/>
      <c r="G45" s="1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6" x14ac:dyDescent="0.25">
      <c r="A46" s="1"/>
      <c r="B46" s="37" t="s">
        <v>1928</v>
      </c>
      <c r="C46" s="37"/>
      <c r="D46" s="37"/>
      <c r="E46" s="14"/>
      <c r="F46" s="1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6" x14ac:dyDescent="0.25">
      <c r="A47" s="1"/>
      <c r="B47" s="21" t="s">
        <v>54</v>
      </c>
      <c r="C47" s="21">
        <v>75</v>
      </c>
      <c r="D47" s="114" t="s">
        <v>1931</v>
      </c>
      <c r="E47" s="27">
        <v>64</v>
      </c>
      <c r="F47" s="122" t="s">
        <v>1933</v>
      </c>
      <c r="G47" s="27">
        <v>61.5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6" x14ac:dyDescent="0.25">
      <c r="A48" s="1"/>
      <c r="B48" s="66">
        <v>3</v>
      </c>
      <c r="C48" s="21">
        <v>90</v>
      </c>
      <c r="D48" s="114" t="s">
        <v>1937</v>
      </c>
      <c r="E48" s="27">
        <v>92</v>
      </c>
      <c r="F48" s="122" t="s">
        <v>1938</v>
      </c>
      <c r="G48" s="27">
        <v>91.5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6" x14ac:dyDescent="0.25">
      <c r="A49" s="1"/>
      <c r="B49" s="66">
        <v>4</v>
      </c>
      <c r="C49" s="21">
        <v>110</v>
      </c>
      <c r="D49" s="114" t="s">
        <v>1940</v>
      </c>
      <c r="E49" s="27">
        <v>134</v>
      </c>
      <c r="F49" s="122" t="s">
        <v>1943</v>
      </c>
      <c r="G49" s="27">
        <v>105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6" x14ac:dyDescent="0.25">
      <c r="A50" s="1"/>
      <c r="B50" s="66">
        <v>6</v>
      </c>
      <c r="C50" s="21">
        <v>160</v>
      </c>
      <c r="D50" s="114" t="s">
        <v>1945</v>
      </c>
      <c r="E50" s="27">
        <v>306</v>
      </c>
      <c r="F50" s="122" t="s">
        <v>1947</v>
      </c>
      <c r="G50" s="27">
        <v>378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3.2" x14ac:dyDescent="0.25">
      <c r="A51" s="1"/>
      <c r="B51" s="34"/>
      <c r="C51" s="34"/>
      <c r="D51" s="123"/>
      <c r="E51" s="14"/>
      <c r="F51" s="1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6" x14ac:dyDescent="0.25">
      <c r="A52" s="1"/>
      <c r="B52" s="37" t="s">
        <v>1949</v>
      </c>
      <c r="C52" s="37"/>
      <c r="D52" s="37"/>
      <c r="E52" s="14"/>
      <c r="F52" s="1"/>
      <c r="G52" s="1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6" x14ac:dyDescent="0.25">
      <c r="A53" s="1"/>
      <c r="B53" s="21" t="s">
        <v>54</v>
      </c>
      <c r="C53" s="21">
        <v>75</v>
      </c>
      <c r="D53" s="114" t="s">
        <v>1952</v>
      </c>
      <c r="E53" s="27">
        <v>38</v>
      </c>
      <c r="F53" s="122"/>
      <c r="G53" s="2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6" x14ac:dyDescent="0.25">
      <c r="A54" s="1"/>
      <c r="B54" s="66">
        <v>4</v>
      </c>
      <c r="C54" s="21">
        <v>110</v>
      </c>
      <c r="D54" s="114" t="s">
        <v>1955</v>
      </c>
      <c r="E54" s="27">
        <v>48</v>
      </c>
      <c r="F54" s="122"/>
      <c r="G54" s="2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6" x14ac:dyDescent="0.25">
      <c r="A55" s="1"/>
      <c r="B55" s="66">
        <v>6</v>
      </c>
      <c r="C55" s="21">
        <v>160</v>
      </c>
      <c r="D55" s="114" t="s">
        <v>1956</v>
      </c>
      <c r="E55" s="27">
        <v>78</v>
      </c>
      <c r="F55" s="122"/>
      <c r="G55" s="2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3.2" x14ac:dyDescent="0.25">
      <c r="A56" s="1"/>
      <c r="B56" s="34"/>
      <c r="C56" s="34"/>
      <c r="D56" s="123"/>
      <c r="E56" s="14"/>
      <c r="F56" s="1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6" x14ac:dyDescent="0.25">
      <c r="A57" s="1"/>
      <c r="B57" s="37" t="s">
        <v>656</v>
      </c>
      <c r="C57" s="37"/>
      <c r="D57" s="37"/>
      <c r="E57" s="14"/>
      <c r="F57" s="1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6" x14ac:dyDescent="0.25">
      <c r="A58" s="1"/>
      <c r="B58" s="21" t="s">
        <v>54</v>
      </c>
      <c r="C58" s="21">
        <v>75</v>
      </c>
      <c r="D58" s="114" t="s">
        <v>1960</v>
      </c>
      <c r="E58" s="27">
        <v>157</v>
      </c>
      <c r="F58" s="122" t="s">
        <v>1961</v>
      </c>
      <c r="G58" s="27">
        <v>165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6" x14ac:dyDescent="0.25">
      <c r="A59" s="1"/>
      <c r="B59" s="66">
        <v>4</v>
      </c>
      <c r="C59" s="21">
        <v>110</v>
      </c>
      <c r="D59" s="114" t="s">
        <v>1962</v>
      </c>
      <c r="E59" s="27">
        <v>310</v>
      </c>
      <c r="F59" s="122" t="s">
        <v>1963</v>
      </c>
      <c r="G59" s="27">
        <v>322.5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.2" x14ac:dyDescent="0.25">
      <c r="A60" s="1"/>
      <c r="B60" s="34"/>
      <c r="C60" s="34"/>
      <c r="D60" s="123"/>
      <c r="E60" s="14"/>
      <c r="F60" s="1"/>
      <c r="G60" s="1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6" x14ac:dyDescent="0.25">
      <c r="A61" s="1"/>
      <c r="B61" s="37" t="s">
        <v>1964</v>
      </c>
      <c r="C61" s="37"/>
      <c r="D61" s="37"/>
      <c r="E61" s="14"/>
      <c r="F61" s="1"/>
      <c r="G61" s="1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6" x14ac:dyDescent="0.25">
      <c r="A62" s="1"/>
      <c r="B62" s="21" t="s">
        <v>54</v>
      </c>
      <c r="C62" s="21">
        <v>75</v>
      </c>
      <c r="D62" s="114" t="s">
        <v>1965</v>
      </c>
      <c r="E62" s="27">
        <v>121</v>
      </c>
      <c r="F62" s="122" t="s">
        <v>1966</v>
      </c>
      <c r="G62" s="27">
        <v>111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6" x14ac:dyDescent="0.25">
      <c r="A63" s="1"/>
      <c r="B63" s="66">
        <v>3</v>
      </c>
      <c r="C63" s="21">
        <v>90</v>
      </c>
      <c r="D63" s="114" t="s">
        <v>1967</v>
      </c>
      <c r="E63" s="27">
        <v>169.8</v>
      </c>
      <c r="F63" s="122" t="s">
        <v>1968</v>
      </c>
      <c r="G63" s="27">
        <v>165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6" x14ac:dyDescent="0.25">
      <c r="A64" s="1"/>
      <c r="B64" s="66">
        <v>4</v>
      </c>
      <c r="C64" s="21">
        <v>110</v>
      </c>
      <c r="D64" s="114" t="s">
        <v>1970</v>
      </c>
      <c r="E64" s="27">
        <v>248</v>
      </c>
      <c r="F64" s="122" t="s">
        <v>1971</v>
      </c>
      <c r="G64" s="27">
        <v>208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6" x14ac:dyDescent="0.25">
      <c r="A65" s="1"/>
      <c r="B65" s="66">
        <v>6</v>
      </c>
      <c r="C65" s="21">
        <v>160</v>
      </c>
      <c r="D65" s="114" t="s">
        <v>1973</v>
      </c>
      <c r="E65" s="27">
        <v>632</v>
      </c>
      <c r="F65" s="122" t="s">
        <v>1974</v>
      </c>
      <c r="G65" s="27">
        <v>678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.2" x14ac:dyDescent="0.25">
      <c r="A66" s="1"/>
      <c r="B66" s="34"/>
      <c r="C66" s="34"/>
      <c r="D66" s="123"/>
      <c r="E66" s="14"/>
      <c r="F66" s="1"/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6" x14ac:dyDescent="0.25">
      <c r="A67" s="1"/>
      <c r="B67" s="37" t="s">
        <v>1976</v>
      </c>
      <c r="C67" s="37"/>
      <c r="D67" s="37"/>
      <c r="E67" s="14"/>
      <c r="F67" s="1"/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6" x14ac:dyDescent="0.25">
      <c r="A68" s="1"/>
      <c r="B68" s="21" t="s">
        <v>1978</v>
      </c>
      <c r="C68" s="21" t="s">
        <v>1541</v>
      </c>
      <c r="D68" s="114" t="s">
        <v>1979</v>
      </c>
      <c r="E68" s="27">
        <v>228</v>
      </c>
      <c r="F68" s="122" t="s">
        <v>1980</v>
      </c>
      <c r="G68" s="27">
        <v>179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6" x14ac:dyDescent="0.25">
      <c r="A69" s="1"/>
      <c r="B69" s="66" t="s">
        <v>574</v>
      </c>
      <c r="C69" s="21" t="s">
        <v>1467</v>
      </c>
      <c r="D69" s="114" t="s">
        <v>1982</v>
      </c>
      <c r="E69" s="27">
        <v>176</v>
      </c>
      <c r="F69" s="122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6" x14ac:dyDescent="0.25">
      <c r="A70" s="1"/>
      <c r="B70" s="66" t="s">
        <v>1983</v>
      </c>
      <c r="C70" s="21" t="s">
        <v>1985</v>
      </c>
      <c r="D70" s="114" t="s">
        <v>1986</v>
      </c>
      <c r="E70" s="27">
        <v>596</v>
      </c>
      <c r="F70" s="122" t="s">
        <v>1987</v>
      </c>
      <c r="G70" s="27">
        <v>723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6" x14ac:dyDescent="0.25">
      <c r="A71" s="1"/>
      <c r="B71" s="66" t="s">
        <v>1989</v>
      </c>
      <c r="C71" s="21" t="s">
        <v>1479</v>
      </c>
      <c r="D71" s="114" t="s">
        <v>1990</v>
      </c>
      <c r="E71" s="27">
        <v>548</v>
      </c>
      <c r="F71" s="122"/>
      <c r="G71" s="2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.2" x14ac:dyDescent="0.25">
      <c r="A72" s="1"/>
      <c r="B72" s="34"/>
      <c r="C72" s="34"/>
      <c r="D72" s="123"/>
      <c r="E72" s="14"/>
      <c r="F72" s="1"/>
      <c r="G72" s="1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6" x14ac:dyDescent="0.25">
      <c r="A73" s="1"/>
      <c r="B73" s="37" t="s">
        <v>1992</v>
      </c>
      <c r="C73" s="37"/>
      <c r="D73" s="37"/>
      <c r="E73" s="14"/>
      <c r="F73" s="1"/>
      <c r="G73" s="1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6" x14ac:dyDescent="0.25">
      <c r="A74" s="1"/>
      <c r="B74" s="21" t="s">
        <v>1978</v>
      </c>
      <c r="C74" s="21" t="s">
        <v>1541</v>
      </c>
      <c r="D74" s="114" t="s">
        <v>1993</v>
      </c>
      <c r="E74" s="27">
        <v>239.8</v>
      </c>
      <c r="F74" s="122" t="s">
        <v>1994</v>
      </c>
      <c r="G74" s="27">
        <v>233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6" x14ac:dyDescent="0.25">
      <c r="A75" s="1"/>
      <c r="B75" s="66" t="s">
        <v>574</v>
      </c>
      <c r="C75" s="21" t="s">
        <v>1467</v>
      </c>
      <c r="D75" s="114" t="s">
        <v>1995</v>
      </c>
      <c r="E75" s="27">
        <v>202.6</v>
      </c>
      <c r="F75" s="122"/>
      <c r="G75" s="2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6" x14ac:dyDescent="0.25">
      <c r="A76" s="1"/>
      <c r="B76" s="66" t="s">
        <v>1983</v>
      </c>
      <c r="C76" s="21" t="s">
        <v>1985</v>
      </c>
      <c r="D76" s="114" t="s">
        <v>1996</v>
      </c>
      <c r="E76" s="27">
        <v>621.20000000000005</v>
      </c>
      <c r="F76" s="122" t="s">
        <v>1998</v>
      </c>
      <c r="G76" s="27">
        <v>847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6" x14ac:dyDescent="0.25">
      <c r="A77" s="1"/>
      <c r="B77" s="66" t="s">
        <v>1989</v>
      </c>
      <c r="C77" s="21" t="s">
        <v>1479</v>
      </c>
      <c r="D77" s="114" t="s">
        <v>1999</v>
      </c>
      <c r="E77" s="27">
        <v>584</v>
      </c>
      <c r="F77" s="122"/>
      <c r="G77" s="2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.2" x14ac:dyDescent="0.25">
      <c r="A78" s="1"/>
      <c r="B78" s="34"/>
      <c r="C78" s="34"/>
      <c r="D78" s="123"/>
      <c r="E78" s="14"/>
      <c r="F78" s="1"/>
      <c r="G78" s="1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6" x14ac:dyDescent="0.25">
      <c r="A79" s="1"/>
      <c r="B79" s="37" t="s">
        <v>2001</v>
      </c>
      <c r="C79" s="37"/>
      <c r="D79" s="37"/>
      <c r="E79" s="14"/>
      <c r="F79" s="1"/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6" x14ac:dyDescent="0.25">
      <c r="A80" s="1"/>
      <c r="B80" s="21" t="s">
        <v>54</v>
      </c>
      <c r="C80" s="21">
        <v>75</v>
      </c>
      <c r="D80" s="114" t="s">
        <v>2003</v>
      </c>
      <c r="E80" s="27">
        <v>159.80000000000001</v>
      </c>
      <c r="F80" s="122" t="s">
        <v>2004</v>
      </c>
      <c r="G80" s="27">
        <v>162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6" x14ac:dyDescent="0.25">
      <c r="A81" s="1"/>
      <c r="B81" s="66">
        <v>3</v>
      </c>
      <c r="C81" s="21">
        <v>90</v>
      </c>
      <c r="D81" s="114" t="s">
        <v>2006</v>
      </c>
      <c r="E81" s="27">
        <v>225</v>
      </c>
      <c r="F81" s="122"/>
      <c r="G81" s="2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6" x14ac:dyDescent="0.25">
      <c r="A82" s="1"/>
      <c r="B82" s="66">
        <v>4</v>
      </c>
      <c r="C82" s="21">
        <v>110</v>
      </c>
      <c r="D82" s="114" t="s">
        <v>2008</v>
      </c>
      <c r="E82" s="27">
        <v>342.2</v>
      </c>
      <c r="F82" s="122" t="s">
        <v>2009</v>
      </c>
      <c r="G82" s="27">
        <v>324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6" x14ac:dyDescent="0.25">
      <c r="A83" s="1"/>
      <c r="B83" s="21">
        <v>6</v>
      </c>
      <c r="C83" s="21">
        <v>160</v>
      </c>
      <c r="D83" s="114" t="s">
        <v>2014</v>
      </c>
      <c r="E83" s="27">
        <v>974.6</v>
      </c>
      <c r="F83" s="122" t="s">
        <v>2015</v>
      </c>
      <c r="G83" s="27">
        <v>1011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.2" x14ac:dyDescent="0.25">
      <c r="A84" s="1"/>
      <c r="B84" s="34"/>
      <c r="C84" s="34"/>
      <c r="D84" s="123"/>
      <c r="E84" s="14"/>
      <c r="F84" s="1"/>
      <c r="G84" s="1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6" x14ac:dyDescent="0.25">
      <c r="A85" s="1"/>
      <c r="B85" s="37" t="s">
        <v>2017</v>
      </c>
      <c r="C85" s="37"/>
      <c r="D85" s="37"/>
      <c r="E85" s="14"/>
      <c r="F85" s="1"/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6" x14ac:dyDescent="0.25">
      <c r="A86" s="1"/>
      <c r="B86" s="21" t="s">
        <v>54</v>
      </c>
      <c r="C86" s="21">
        <v>75</v>
      </c>
      <c r="D86" s="114" t="s">
        <v>2018</v>
      </c>
      <c r="E86" s="27">
        <v>163.69999999999999</v>
      </c>
      <c r="F86" s="122"/>
      <c r="G86" s="2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6" x14ac:dyDescent="0.25">
      <c r="A87" s="1"/>
      <c r="B87" s="21">
        <v>4</v>
      </c>
      <c r="C87" s="21">
        <v>110</v>
      </c>
      <c r="D87" s="114" t="s">
        <v>2019</v>
      </c>
      <c r="E87" s="27">
        <v>277.8</v>
      </c>
      <c r="F87" s="122"/>
      <c r="G87" s="2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.2" x14ac:dyDescent="0.25">
      <c r="A88" s="1"/>
      <c r="B88" s="34"/>
      <c r="C88" s="34"/>
      <c r="D88" s="34"/>
      <c r="E88" s="14"/>
      <c r="F88" s="1"/>
      <c r="G88" s="1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6" x14ac:dyDescent="0.25">
      <c r="A89" s="1"/>
      <c r="B89" s="37" t="s">
        <v>2020</v>
      </c>
      <c r="C89" s="37"/>
      <c r="D89" s="37"/>
      <c r="E89" s="14"/>
      <c r="F89" s="1"/>
      <c r="G89" s="1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6" x14ac:dyDescent="0.25">
      <c r="A90" s="1"/>
      <c r="B90" s="21" t="s">
        <v>1978</v>
      </c>
      <c r="C90" s="21" t="s">
        <v>1541</v>
      </c>
      <c r="D90" s="114" t="s">
        <v>2021</v>
      </c>
      <c r="E90" s="27">
        <v>288</v>
      </c>
      <c r="F90" s="122" t="s">
        <v>2023</v>
      </c>
      <c r="G90" s="27">
        <v>315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.2" x14ac:dyDescent="0.25">
      <c r="A91" s="1"/>
      <c r="B91" s="34"/>
      <c r="C91" s="34"/>
      <c r="D91" s="34"/>
      <c r="E91" s="14"/>
      <c r="F91" s="1"/>
      <c r="G91" s="1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6" x14ac:dyDescent="0.25">
      <c r="A92" s="1"/>
      <c r="B92" s="37" t="s">
        <v>2024</v>
      </c>
      <c r="C92" s="37"/>
      <c r="D92" s="37"/>
      <c r="E92" s="14"/>
      <c r="F92" s="1"/>
      <c r="G92" s="1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6" x14ac:dyDescent="0.25">
      <c r="A93" s="1"/>
      <c r="B93" s="21" t="s">
        <v>54</v>
      </c>
      <c r="C93" s="21">
        <v>75</v>
      </c>
      <c r="D93" s="114" t="s">
        <v>2025</v>
      </c>
      <c r="E93" s="27">
        <v>208.2</v>
      </c>
      <c r="F93" s="122"/>
      <c r="G93" s="2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6" x14ac:dyDescent="0.25">
      <c r="A94" s="1"/>
      <c r="B94" s="66">
        <v>4</v>
      </c>
      <c r="C94" s="21">
        <v>110</v>
      </c>
      <c r="D94" s="114" t="s">
        <v>2026</v>
      </c>
      <c r="E94" s="27">
        <v>444.4</v>
      </c>
      <c r="F94" s="122"/>
      <c r="G94" s="2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.2" x14ac:dyDescent="0.25">
      <c r="A95" s="1"/>
      <c r="B95" s="34"/>
      <c r="C95" s="34"/>
      <c r="D95" s="34"/>
      <c r="E95" s="14"/>
      <c r="F95" s="1"/>
      <c r="G95" s="1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6" x14ac:dyDescent="0.25">
      <c r="A96" s="1"/>
      <c r="B96" s="37" t="s">
        <v>2028</v>
      </c>
      <c r="C96" s="37"/>
      <c r="D96" s="37"/>
      <c r="E96" s="14"/>
      <c r="F96" s="1"/>
      <c r="G96" s="1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6" x14ac:dyDescent="0.25">
      <c r="A97" s="1"/>
      <c r="B97" s="21" t="s">
        <v>54</v>
      </c>
      <c r="C97" s="21">
        <v>75</v>
      </c>
      <c r="D97" s="114" t="s">
        <v>2030</v>
      </c>
      <c r="E97" s="27">
        <v>114</v>
      </c>
      <c r="F97" s="122" t="s">
        <v>2032</v>
      </c>
      <c r="G97" s="27">
        <v>120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6" x14ac:dyDescent="0.25">
      <c r="A98" s="1"/>
      <c r="B98" s="66">
        <v>4</v>
      </c>
      <c r="C98" s="21">
        <v>110</v>
      </c>
      <c r="D98" s="114" t="s">
        <v>2033</v>
      </c>
      <c r="E98" s="27">
        <v>234</v>
      </c>
      <c r="F98" s="122" t="s">
        <v>2034</v>
      </c>
      <c r="G98" s="27">
        <v>249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.2" x14ac:dyDescent="0.25">
      <c r="A99" s="1"/>
      <c r="B99" s="34"/>
      <c r="C99" s="34"/>
      <c r="D99" s="123"/>
      <c r="E99" s="14"/>
      <c r="F99" s="1"/>
      <c r="G99" s="1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6" x14ac:dyDescent="0.25">
      <c r="A100" s="1"/>
      <c r="B100" s="37" t="s">
        <v>2036</v>
      </c>
      <c r="C100" s="37"/>
      <c r="D100" s="37"/>
      <c r="E100" s="14"/>
      <c r="F100" s="1"/>
      <c r="G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6" x14ac:dyDescent="0.25">
      <c r="A101" s="1"/>
      <c r="B101" s="21" t="s">
        <v>54</v>
      </c>
      <c r="C101" s="21">
        <v>75</v>
      </c>
      <c r="D101" s="114" t="s">
        <v>2038</v>
      </c>
      <c r="E101" s="27">
        <v>152.19999999999999</v>
      </c>
      <c r="F101" s="122" t="s">
        <v>2039</v>
      </c>
      <c r="G101" s="27">
        <v>135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6" x14ac:dyDescent="0.25">
      <c r="A102" s="1"/>
      <c r="B102" s="66">
        <v>3</v>
      </c>
      <c r="C102" s="21">
        <v>90</v>
      </c>
      <c r="D102" s="114" t="s">
        <v>2041</v>
      </c>
      <c r="E102" s="27">
        <v>217.6</v>
      </c>
      <c r="F102" s="122" t="s">
        <v>2043</v>
      </c>
      <c r="G102" s="27">
        <v>215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6" x14ac:dyDescent="0.25">
      <c r="A103" s="1"/>
      <c r="B103" s="66">
        <v>4</v>
      </c>
      <c r="C103" s="21">
        <v>110</v>
      </c>
      <c r="D103" s="114" t="s">
        <v>2044</v>
      </c>
      <c r="E103" s="27">
        <v>314.2</v>
      </c>
      <c r="F103" s="122" t="s">
        <v>2045</v>
      </c>
      <c r="G103" s="27">
        <v>270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6" x14ac:dyDescent="0.25">
      <c r="A104" s="1"/>
      <c r="B104" s="21">
        <v>6</v>
      </c>
      <c r="C104" s="21">
        <v>160</v>
      </c>
      <c r="D104" s="114" t="s">
        <v>2047</v>
      </c>
      <c r="E104" s="27">
        <v>929.2</v>
      </c>
      <c r="F104" s="122" t="s">
        <v>2048</v>
      </c>
      <c r="G104" s="27">
        <v>922.5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.2" x14ac:dyDescent="0.25">
      <c r="A105" s="1"/>
      <c r="B105" s="34"/>
      <c r="C105" s="34"/>
      <c r="D105" s="123"/>
      <c r="E105" s="14"/>
      <c r="F105" s="1"/>
      <c r="G105" s="1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6" x14ac:dyDescent="0.25">
      <c r="A106" s="1"/>
      <c r="B106" s="37" t="s">
        <v>2050</v>
      </c>
      <c r="C106" s="37"/>
      <c r="D106" s="37"/>
      <c r="E106" s="14"/>
      <c r="F106" s="1"/>
      <c r="G106" s="1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6" x14ac:dyDescent="0.25">
      <c r="A107" s="1"/>
      <c r="B107" s="21" t="s">
        <v>54</v>
      </c>
      <c r="C107" s="21">
        <v>75</v>
      </c>
      <c r="D107" s="114" t="s">
        <v>2052</v>
      </c>
      <c r="E107" s="27">
        <v>178</v>
      </c>
      <c r="F107" s="122"/>
      <c r="G107" s="2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6" x14ac:dyDescent="0.25">
      <c r="A108" s="1"/>
      <c r="B108" s="66">
        <v>4</v>
      </c>
      <c r="C108" s="21">
        <v>110</v>
      </c>
      <c r="D108" s="114" t="s">
        <v>2055</v>
      </c>
      <c r="E108" s="27">
        <v>438</v>
      </c>
      <c r="F108" s="122"/>
      <c r="G108" s="2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.2" x14ac:dyDescent="0.25">
      <c r="A109" s="1"/>
      <c r="B109" s="34"/>
      <c r="C109" s="34"/>
      <c r="D109" s="123"/>
      <c r="E109" s="14"/>
      <c r="F109" s="1"/>
      <c r="G109" s="1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6" x14ac:dyDescent="0.25">
      <c r="A110" s="1"/>
      <c r="B110" s="37" t="s">
        <v>2058</v>
      </c>
      <c r="C110" s="37"/>
      <c r="D110" s="37"/>
      <c r="E110" s="14"/>
      <c r="F110" s="1"/>
      <c r="G110" s="1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6" x14ac:dyDescent="0.25">
      <c r="A111" s="1"/>
      <c r="B111" s="21" t="s">
        <v>1978</v>
      </c>
      <c r="C111" s="21" t="s">
        <v>1541</v>
      </c>
      <c r="D111" s="114" t="s">
        <v>2060</v>
      </c>
      <c r="E111" s="27">
        <v>264.89999999999998</v>
      </c>
      <c r="F111" s="122" t="s">
        <v>2061</v>
      </c>
      <c r="G111" s="27">
        <v>255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2" x14ac:dyDescent="0.25">
      <c r="A112" s="1"/>
      <c r="B112" s="34"/>
      <c r="C112" s="34"/>
      <c r="D112" s="123"/>
      <c r="E112" s="14"/>
      <c r="F112" s="1"/>
      <c r="G112" s="1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6" x14ac:dyDescent="0.25">
      <c r="A113" s="1"/>
      <c r="B113" s="37" t="s">
        <v>2064</v>
      </c>
      <c r="C113" s="37"/>
      <c r="D113" s="37"/>
      <c r="E113" s="14"/>
      <c r="F113" s="1"/>
      <c r="G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6" x14ac:dyDescent="0.25">
      <c r="A114" s="1"/>
      <c r="B114" s="21" t="s">
        <v>54</v>
      </c>
      <c r="C114" s="21">
        <v>75</v>
      </c>
      <c r="D114" s="114" t="s">
        <v>2065</v>
      </c>
      <c r="E114" s="27">
        <v>207.9</v>
      </c>
      <c r="F114" s="122" t="s">
        <v>2066</v>
      </c>
      <c r="G114" s="27">
        <v>195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6" x14ac:dyDescent="0.25">
      <c r="A115" s="1"/>
      <c r="B115" s="66">
        <v>4</v>
      </c>
      <c r="C115" s="21">
        <v>110</v>
      </c>
      <c r="D115" s="114" t="s">
        <v>2067</v>
      </c>
      <c r="E115" s="27">
        <v>448.9</v>
      </c>
      <c r="F115" s="139" t="s">
        <v>2068</v>
      </c>
      <c r="G115" s="27">
        <v>395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.2" x14ac:dyDescent="0.25">
      <c r="A116" s="1"/>
      <c r="B116" s="34"/>
      <c r="C116" s="34"/>
      <c r="D116" s="123"/>
      <c r="E116" s="14"/>
      <c r="F116" s="1"/>
      <c r="G116" s="1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6" x14ac:dyDescent="0.25">
      <c r="A117" s="1"/>
      <c r="B117" s="37" t="s">
        <v>2069</v>
      </c>
      <c r="C117" s="37"/>
      <c r="D117" s="37"/>
      <c r="E117" s="14"/>
      <c r="F117" s="1"/>
      <c r="G117" s="1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6" x14ac:dyDescent="0.25">
      <c r="A118" s="1"/>
      <c r="B118" s="21" t="s">
        <v>1978</v>
      </c>
      <c r="C118" s="21" t="s">
        <v>1541</v>
      </c>
      <c r="D118" s="114" t="s">
        <v>2070</v>
      </c>
      <c r="E118" s="27">
        <v>107.8</v>
      </c>
      <c r="F118" s="122" t="s">
        <v>2071</v>
      </c>
      <c r="G118" s="27">
        <v>110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6" x14ac:dyDescent="0.25">
      <c r="A119" s="1"/>
      <c r="B119" s="66" t="s">
        <v>2072</v>
      </c>
      <c r="C119" s="21" t="s">
        <v>2073</v>
      </c>
      <c r="D119" s="114" t="s">
        <v>2074</v>
      </c>
      <c r="E119" s="27">
        <v>126</v>
      </c>
      <c r="F119" s="122"/>
      <c r="G119" s="2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6" x14ac:dyDescent="0.25">
      <c r="A120" s="1"/>
      <c r="B120" s="66" t="s">
        <v>1983</v>
      </c>
      <c r="C120" s="21" t="s">
        <v>1985</v>
      </c>
      <c r="D120" s="114" t="s">
        <v>2075</v>
      </c>
      <c r="E120" s="27">
        <v>258.39999999999998</v>
      </c>
      <c r="F120" s="122" t="s">
        <v>2076</v>
      </c>
      <c r="G120" s="27">
        <v>331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.2" x14ac:dyDescent="0.25">
      <c r="A121" s="1"/>
      <c r="B121" s="34"/>
      <c r="C121" s="34"/>
      <c r="D121" s="123"/>
      <c r="E121" s="14"/>
      <c r="F121" s="1"/>
      <c r="G121" s="1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6" x14ac:dyDescent="0.25">
      <c r="A122" s="1"/>
      <c r="B122" s="37" t="s">
        <v>2077</v>
      </c>
      <c r="C122" s="37"/>
      <c r="D122" s="37"/>
      <c r="E122" s="14"/>
      <c r="F122" s="1"/>
      <c r="G122" s="1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6" x14ac:dyDescent="0.25">
      <c r="A123" s="1"/>
      <c r="B123" s="21" t="s">
        <v>2078</v>
      </c>
      <c r="C123" s="21">
        <v>63</v>
      </c>
      <c r="D123" s="114" t="s">
        <v>2079</v>
      </c>
      <c r="E123" s="27">
        <v>15.2</v>
      </c>
      <c r="F123" s="122" t="s">
        <v>2080</v>
      </c>
      <c r="G123" s="27">
        <v>21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6" x14ac:dyDescent="0.25">
      <c r="A124" s="1"/>
      <c r="B124" s="21" t="s">
        <v>54</v>
      </c>
      <c r="C124" s="21">
        <v>75</v>
      </c>
      <c r="D124" s="114" t="s">
        <v>2081</v>
      </c>
      <c r="E124" s="27">
        <v>19.2</v>
      </c>
      <c r="F124" s="122" t="s">
        <v>2082</v>
      </c>
      <c r="G124" s="27">
        <v>22.5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6" x14ac:dyDescent="0.25">
      <c r="A125" s="1"/>
      <c r="B125" s="66">
        <v>3</v>
      </c>
      <c r="C125" s="21">
        <v>90</v>
      </c>
      <c r="D125" s="114" t="s">
        <v>2083</v>
      </c>
      <c r="E125" s="27">
        <v>31.4</v>
      </c>
      <c r="F125" s="122" t="s">
        <v>2084</v>
      </c>
      <c r="G125" s="27">
        <v>32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6" x14ac:dyDescent="0.25">
      <c r="A126" s="1"/>
      <c r="B126" s="66">
        <v>4</v>
      </c>
      <c r="C126" s="21">
        <v>110</v>
      </c>
      <c r="D126" s="114" t="s">
        <v>2085</v>
      </c>
      <c r="E126" s="27">
        <v>37.4</v>
      </c>
      <c r="F126" s="122" t="s">
        <v>2086</v>
      </c>
      <c r="G126" s="27">
        <v>37.5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6" x14ac:dyDescent="0.25">
      <c r="A127" s="1"/>
      <c r="B127" s="66">
        <v>6</v>
      </c>
      <c r="C127" s="21">
        <v>160</v>
      </c>
      <c r="D127" s="114" t="s">
        <v>2087</v>
      </c>
      <c r="E127" s="27">
        <v>84.6</v>
      </c>
      <c r="F127" s="122" t="s">
        <v>2088</v>
      </c>
      <c r="G127" s="27">
        <v>108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.2" x14ac:dyDescent="0.25">
      <c r="A128" s="1"/>
      <c r="B128" s="34"/>
      <c r="C128" s="34"/>
      <c r="D128" s="123"/>
      <c r="E128" s="14"/>
      <c r="F128" s="1"/>
      <c r="G128" s="1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6" x14ac:dyDescent="0.25">
      <c r="A129" s="1"/>
      <c r="B129" s="37" t="s">
        <v>2089</v>
      </c>
      <c r="C129" s="37"/>
      <c r="D129" s="37"/>
      <c r="E129" s="14"/>
      <c r="F129" s="1"/>
      <c r="G129" s="1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6" x14ac:dyDescent="0.25">
      <c r="A130" s="1"/>
      <c r="B130" s="21" t="s">
        <v>54</v>
      </c>
      <c r="C130" s="21">
        <v>75</v>
      </c>
      <c r="D130" s="114" t="s">
        <v>2090</v>
      </c>
      <c r="E130" s="27">
        <v>20.2</v>
      </c>
      <c r="F130" s="122" t="s">
        <v>2091</v>
      </c>
      <c r="G130" s="27">
        <v>27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6" x14ac:dyDescent="0.25">
      <c r="A131" s="1"/>
      <c r="B131" s="66">
        <v>3</v>
      </c>
      <c r="C131" s="21">
        <v>90</v>
      </c>
      <c r="D131" s="114" t="s">
        <v>2092</v>
      </c>
      <c r="E131" s="27">
        <v>20.8</v>
      </c>
      <c r="F131" s="122" t="s">
        <v>2093</v>
      </c>
      <c r="G131" s="27">
        <v>31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6" x14ac:dyDescent="0.25">
      <c r="A132" s="1"/>
      <c r="B132" s="66">
        <v>4</v>
      </c>
      <c r="C132" s="21">
        <v>110</v>
      </c>
      <c r="D132" s="114" t="s">
        <v>2094</v>
      </c>
      <c r="E132" s="27">
        <v>27.8</v>
      </c>
      <c r="F132" s="122" t="s">
        <v>2095</v>
      </c>
      <c r="G132" s="27">
        <v>37.5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6" x14ac:dyDescent="0.25">
      <c r="A133" s="1"/>
      <c r="B133" s="66">
        <v>6</v>
      </c>
      <c r="C133" s="21">
        <v>160</v>
      </c>
      <c r="D133" s="114" t="s">
        <v>2096</v>
      </c>
      <c r="E133" s="27">
        <v>57.4</v>
      </c>
      <c r="F133" s="122"/>
      <c r="G133" s="2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.2" x14ac:dyDescent="0.25">
      <c r="A134" s="1"/>
      <c r="B134" s="34"/>
      <c r="C134" s="34"/>
      <c r="D134" s="123"/>
      <c r="E134" s="14"/>
      <c r="F134" s="1"/>
      <c r="G134" s="1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6" x14ac:dyDescent="0.25">
      <c r="A135" s="1"/>
      <c r="B135" s="37" t="s">
        <v>2097</v>
      </c>
      <c r="C135" s="37"/>
      <c r="D135" s="37"/>
      <c r="E135" s="14"/>
      <c r="F135" s="1"/>
      <c r="G135" s="1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6" x14ac:dyDescent="0.25">
      <c r="A136" s="1"/>
      <c r="B136" s="21" t="s">
        <v>2098</v>
      </c>
      <c r="C136" s="21" t="s">
        <v>2099</v>
      </c>
      <c r="D136" s="114" t="s">
        <v>2100</v>
      </c>
      <c r="E136" s="27">
        <v>466</v>
      </c>
      <c r="F136" s="122" t="s">
        <v>2101</v>
      </c>
      <c r="G136" s="27">
        <v>532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6" x14ac:dyDescent="0.25">
      <c r="A137" s="1"/>
      <c r="B137" s="21" t="s">
        <v>2102</v>
      </c>
      <c r="C137" s="21" t="s">
        <v>2103</v>
      </c>
      <c r="D137" s="114" t="s">
        <v>2104</v>
      </c>
      <c r="E137" s="27">
        <v>424</v>
      </c>
      <c r="F137" s="122" t="s">
        <v>2105</v>
      </c>
      <c r="G137" s="27">
        <v>525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.2" x14ac:dyDescent="0.25">
      <c r="A138" s="1"/>
      <c r="B138" s="34"/>
      <c r="C138" s="34"/>
      <c r="D138" s="123"/>
      <c r="E138" s="14"/>
      <c r="F138" s="1"/>
      <c r="G138" s="1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6" x14ac:dyDescent="0.25">
      <c r="A139" s="1"/>
      <c r="B139" s="37" t="s">
        <v>2106</v>
      </c>
      <c r="C139" s="37"/>
      <c r="D139" s="37"/>
      <c r="E139" s="14"/>
      <c r="F139" s="1"/>
      <c r="G139" s="1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6" x14ac:dyDescent="0.25">
      <c r="A140" s="1"/>
      <c r="B140" s="21" t="s">
        <v>54</v>
      </c>
      <c r="C140" s="21">
        <v>75</v>
      </c>
      <c r="D140" s="114" t="s">
        <v>2107</v>
      </c>
      <c r="E140" s="27">
        <v>186.2</v>
      </c>
      <c r="F140" s="122" t="s">
        <v>2108</v>
      </c>
      <c r="G140" s="27">
        <v>140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6" x14ac:dyDescent="0.25">
      <c r="A141" s="1"/>
      <c r="B141" s="66">
        <v>3</v>
      </c>
      <c r="C141" s="21">
        <v>90</v>
      </c>
      <c r="D141" s="114" t="s">
        <v>2109</v>
      </c>
      <c r="E141" s="27">
        <v>231.79999999999998</v>
      </c>
      <c r="F141" s="122" t="s">
        <v>2110</v>
      </c>
      <c r="G141" s="27">
        <v>131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6" x14ac:dyDescent="0.25">
      <c r="A142" s="1"/>
      <c r="B142" s="66">
        <v>4</v>
      </c>
      <c r="C142" s="21">
        <v>110</v>
      </c>
      <c r="D142" s="114" t="s">
        <v>2111</v>
      </c>
      <c r="E142" s="27">
        <v>203.29999999999998</v>
      </c>
      <c r="F142" s="122" t="s">
        <v>2112</v>
      </c>
      <c r="G142" s="54">
        <v>165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6" x14ac:dyDescent="0.25">
      <c r="A143" s="1"/>
      <c r="B143" s="140"/>
      <c r="C143" s="21" t="s">
        <v>1469</v>
      </c>
      <c r="D143" s="114" t="s">
        <v>2113</v>
      </c>
      <c r="E143" s="27">
        <v>169</v>
      </c>
      <c r="F143" s="122" t="s">
        <v>2114</v>
      </c>
      <c r="G143" s="27">
        <v>125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.2" x14ac:dyDescent="0.25">
      <c r="A144" s="1"/>
      <c r="B144" s="34"/>
      <c r="C144" s="34"/>
      <c r="D144" s="123"/>
      <c r="E144" s="14"/>
      <c r="F144" s="1"/>
      <c r="G144" s="1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6" x14ac:dyDescent="0.25">
      <c r="A145" s="1"/>
      <c r="B145" s="37" t="s">
        <v>2115</v>
      </c>
      <c r="C145" s="37"/>
      <c r="D145" s="37"/>
      <c r="E145" s="14"/>
      <c r="F145" s="1"/>
      <c r="G145" s="1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6" x14ac:dyDescent="0.25">
      <c r="A146" s="1"/>
      <c r="B146" s="21" t="s">
        <v>54</v>
      </c>
      <c r="C146" s="48">
        <v>75</v>
      </c>
      <c r="D146" s="114" t="s">
        <v>2116</v>
      </c>
      <c r="E146" s="27">
        <v>167.2</v>
      </c>
      <c r="F146" s="122" t="s">
        <v>2117</v>
      </c>
      <c r="G146" s="27">
        <v>120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6" x14ac:dyDescent="0.25">
      <c r="A147" s="1"/>
      <c r="B147" s="21">
        <v>3</v>
      </c>
      <c r="C147" s="28">
        <v>90</v>
      </c>
      <c r="D147" s="114" t="s">
        <v>2118</v>
      </c>
      <c r="E147" s="27">
        <v>207.1</v>
      </c>
      <c r="F147" s="122" t="s">
        <v>2119</v>
      </c>
      <c r="G147" s="27">
        <v>131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6" x14ac:dyDescent="0.25">
      <c r="A148" s="1"/>
      <c r="B148" s="21">
        <v>4</v>
      </c>
      <c r="C148" s="28">
        <v>110</v>
      </c>
      <c r="D148" s="114" t="s">
        <v>2120</v>
      </c>
      <c r="E148" s="27">
        <v>182.39999999999998</v>
      </c>
      <c r="F148" s="122" t="s">
        <v>2121</v>
      </c>
      <c r="G148" s="27">
        <v>165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6" x14ac:dyDescent="0.25">
      <c r="A149" s="1"/>
      <c r="B149" s="141"/>
      <c r="C149" s="21" t="s">
        <v>1469</v>
      </c>
      <c r="D149" s="114" t="s">
        <v>2122</v>
      </c>
      <c r="E149" s="27">
        <v>147</v>
      </c>
      <c r="F149" s="122" t="s">
        <v>2123</v>
      </c>
      <c r="G149" s="27">
        <v>112.5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2" x14ac:dyDescent="0.25">
      <c r="A150" s="1"/>
      <c r="B150" s="34"/>
      <c r="C150" s="34"/>
      <c r="D150" s="123"/>
      <c r="E150" s="14"/>
      <c r="F150" s="1"/>
      <c r="G150" s="1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6" x14ac:dyDescent="0.25">
      <c r="A151" s="1"/>
      <c r="B151" s="37" t="s">
        <v>2124</v>
      </c>
      <c r="C151" s="37"/>
      <c r="D151" s="37"/>
      <c r="E151" s="14"/>
      <c r="F151" s="1"/>
      <c r="G151" s="1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6" x14ac:dyDescent="0.25">
      <c r="A152" s="1"/>
      <c r="B152" s="21" t="s">
        <v>54</v>
      </c>
      <c r="C152" s="21">
        <v>75</v>
      </c>
      <c r="D152" s="114" t="s">
        <v>2125</v>
      </c>
      <c r="E152" s="27">
        <v>21.2</v>
      </c>
      <c r="F152" s="122" t="s">
        <v>2126</v>
      </c>
      <c r="G152" s="27">
        <v>30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6" x14ac:dyDescent="0.25">
      <c r="A153" s="1"/>
      <c r="B153" s="66">
        <v>3</v>
      </c>
      <c r="C153" s="21">
        <v>90</v>
      </c>
      <c r="D153" s="114" t="s">
        <v>2127</v>
      </c>
      <c r="E153" s="27">
        <v>31.2</v>
      </c>
      <c r="F153" s="122" t="s">
        <v>2128</v>
      </c>
      <c r="G153" s="27">
        <v>40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6" x14ac:dyDescent="0.25">
      <c r="A154" s="1"/>
      <c r="B154" s="66">
        <v>4</v>
      </c>
      <c r="C154" s="21">
        <v>110</v>
      </c>
      <c r="D154" s="114" t="s">
        <v>2129</v>
      </c>
      <c r="E154" s="27">
        <v>42.6</v>
      </c>
      <c r="F154" s="122" t="s">
        <v>2130</v>
      </c>
      <c r="G154" s="27">
        <v>60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6" x14ac:dyDescent="0.25">
      <c r="A155" s="1"/>
      <c r="B155" s="66">
        <v>6</v>
      </c>
      <c r="C155" s="21">
        <v>160</v>
      </c>
      <c r="D155" s="114" t="s">
        <v>2131</v>
      </c>
      <c r="E155" s="27">
        <v>74.2</v>
      </c>
      <c r="F155" s="122"/>
      <c r="G155" s="2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.2" x14ac:dyDescent="0.25">
      <c r="A156" s="1"/>
      <c r="B156" s="34"/>
      <c r="C156" s="34"/>
      <c r="D156" s="123"/>
      <c r="E156" s="14"/>
      <c r="F156" s="1"/>
      <c r="G156" s="1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6" x14ac:dyDescent="0.25">
      <c r="A157" s="1"/>
      <c r="B157" s="37" t="s">
        <v>2132</v>
      </c>
      <c r="C157" s="37"/>
      <c r="D157" s="37"/>
      <c r="E157" s="14"/>
      <c r="F157" s="1"/>
      <c r="G157" s="1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6" x14ac:dyDescent="0.25">
      <c r="A158" s="1"/>
      <c r="B158" s="21" t="s">
        <v>588</v>
      </c>
      <c r="C158" s="21" t="s">
        <v>1471</v>
      </c>
      <c r="D158" s="114" t="s">
        <v>2133</v>
      </c>
      <c r="E158" s="27">
        <v>129.19999999999999</v>
      </c>
      <c r="F158" s="122"/>
      <c r="G158" s="2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.2" x14ac:dyDescent="0.25">
      <c r="A159" s="1"/>
      <c r="B159" s="34"/>
      <c r="C159" s="34"/>
      <c r="D159" s="123"/>
      <c r="E159" s="14"/>
      <c r="F159" s="1"/>
      <c r="G159" s="1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6" x14ac:dyDescent="0.25">
      <c r="A160" s="1"/>
      <c r="B160" s="37" t="s">
        <v>2134</v>
      </c>
      <c r="C160" s="37"/>
      <c r="D160" s="37"/>
      <c r="E160" s="14"/>
      <c r="F160" s="1"/>
      <c r="G160" s="1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6" x14ac:dyDescent="0.25">
      <c r="A161" s="1"/>
      <c r="B161" s="141"/>
      <c r="C161" s="21" t="s">
        <v>2135</v>
      </c>
      <c r="D161" s="114" t="s">
        <v>2136</v>
      </c>
      <c r="E161" s="27">
        <v>158</v>
      </c>
      <c r="F161" s="122"/>
      <c r="G161" s="2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.2" x14ac:dyDescent="0.25">
      <c r="A162" s="1"/>
      <c r="B162" s="34"/>
      <c r="C162" s="34"/>
      <c r="D162" s="123"/>
      <c r="E162" s="14"/>
      <c r="F162" s="1"/>
      <c r="G162" s="1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6" x14ac:dyDescent="0.25">
      <c r="A163" s="1"/>
      <c r="B163" s="37" t="s">
        <v>2137</v>
      </c>
      <c r="C163" s="37"/>
      <c r="D163" s="37"/>
      <c r="E163" s="14"/>
      <c r="F163" s="1"/>
      <c r="G163" s="1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6" x14ac:dyDescent="0.25">
      <c r="A164" s="1"/>
      <c r="B164" s="141"/>
      <c r="C164" s="21" t="s">
        <v>2135</v>
      </c>
      <c r="D164" s="114" t="s">
        <v>2138</v>
      </c>
      <c r="E164" s="27">
        <v>194</v>
      </c>
      <c r="F164" s="122" t="s">
        <v>2139</v>
      </c>
      <c r="G164" s="27">
        <v>187.5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.2" x14ac:dyDescent="0.25">
      <c r="A165" s="1"/>
      <c r="B165" s="34"/>
      <c r="C165" s="34"/>
      <c r="D165" s="123"/>
      <c r="E165" s="14"/>
      <c r="F165" s="1"/>
      <c r="G165" s="1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6" x14ac:dyDescent="0.25">
      <c r="A166" s="1"/>
      <c r="B166" s="37" t="s">
        <v>2140</v>
      </c>
      <c r="C166" s="37"/>
      <c r="D166" s="37"/>
      <c r="E166" s="14"/>
      <c r="F166" s="1"/>
      <c r="G166" s="1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6" x14ac:dyDescent="0.25">
      <c r="A167" s="1"/>
      <c r="B167" s="21" t="s">
        <v>54</v>
      </c>
      <c r="C167" s="21">
        <v>75</v>
      </c>
      <c r="D167" s="114" t="s">
        <v>2141</v>
      </c>
      <c r="E167" s="27">
        <v>10.5</v>
      </c>
      <c r="F167" s="114" t="s">
        <v>2142</v>
      </c>
      <c r="G167" s="142">
        <v>10.5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6" x14ac:dyDescent="0.25">
      <c r="A168" s="1"/>
      <c r="B168" s="66">
        <v>3</v>
      </c>
      <c r="C168" s="21">
        <v>90</v>
      </c>
      <c r="D168" s="114" t="s">
        <v>2143</v>
      </c>
      <c r="E168" s="27">
        <v>15.1</v>
      </c>
      <c r="F168" s="114" t="s">
        <v>2144</v>
      </c>
      <c r="G168" s="142">
        <v>12.5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6" x14ac:dyDescent="0.25">
      <c r="A169" s="1"/>
      <c r="B169" s="66">
        <v>4</v>
      </c>
      <c r="C169" s="21">
        <v>110</v>
      </c>
      <c r="D169" s="114" t="s">
        <v>2145</v>
      </c>
      <c r="E169" s="27">
        <v>23.4</v>
      </c>
      <c r="F169" s="114" t="s">
        <v>2146</v>
      </c>
      <c r="G169" s="142">
        <v>16.5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6" x14ac:dyDescent="0.25">
      <c r="A170" s="1"/>
      <c r="B170" s="66">
        <v>6</v>
      </c>
      <c r="C170" s="21">
        <v>160</v>
      </c>
      <c r="D170" s="114" t="s">
        <v>2147</v>
      </c>
      <c r="E170" s="27">
        <v>40.9</v>
      </c>
      <c r="F170" s="114"/>
      <c r="G170" s="14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.2" x14ac:dyDescent="0.25">
      <c r="A171" s="1"/>
      <c r="B171" s="34"/>
      <c r="C171" s="34"/>
      <c r="D171" s="123"/>
      <c r="E171" s="14"/>
      <c r="F171" s="1"/>
      <c r="G171" s="1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6" x14ac:dyDescent="0.25">
      <c r="A172" s="1"/>
      <c r="B172" s="37" t="s">
        <v>2148</v>
      </c>
      <c r="C172" s="37"/>
      <c r="D172" s="37"/>
      <c r="E172" s="14"/>
      <c r="F172" s="1"/>
      <c r="G172" s="1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6" x14ac:dyDescent="0.25">
      <c r="A173" s="1"/>
      <c r="B173" s="21" t="s">
        <v>2098</v>
      </c>
      <c r="C173" s="21" t="s">
        <v>2099</v>
      </c>
      <c r="D173" s="114" t="s">
        <v>2149</v>
      </c>
      <c r="E173" s="27">
        <v>398.4</v>
      </c>
      <c r="F173" s="122" t="s">
        <v>2150</v>
      </c>
      <c r="G173" s="27">
        <v>390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6" x14ac:dyDescent="0.25">
      <c r="A174" s="1"/>
      <c r="B174" s="21" t="s">
        <v>2102</v>
      </c>
      <c r="C174" s="21" t="s">
        <v>2103</v>
      </c>
      <c r="D174" s="114" t="s">
        <v>2151</v>
      </c>
      <c r="E174" s="27">
        <v>351.4</v>
      </c>
      <c r="F174" s="122" t="s">
        <v>2152</v>
      </c>
      <c r="G174" s="27">
        <v>313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.2" x14ac:dyDescent="0.25">
      <c r="A175" s="1"/>
      <c r="B175" s="34"/>
      <c r="C175" s="34"/>
      <c r="D175" s="123"/>
      <c r="E175" s="14"/>
      <c r="F175" s="1"/>
      <c r="G175" s="1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6" x14ac:dyDescent="0.25">
      <c r="A176" s="1"/>
      <c r="B176" s="37" t="s">
        <v>2153</v>
      </c>
      <c r="C176" s="37"/>
      <c r="D176" s="37"/>
      <c r="E176" s="14"/>
      <c r="F176" s="1"/>
      <c r="G176" s="1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6" x14ac:dyDescent="0.25">
      <c r="A177" s="1"/>
      <c r="B177" s="21" t="s">
        <v>2098</v>
      </c>
      <c r="C177" s="21" t="s">
        <v>2099</v>
      </c>
      <c r="D177" s="114" t="s">
        <v>2154</v>
      </c>
      <c r="E177" s="27">
        <v>532</v>
      </c>
      <c r="F177" s="122" t="s">
        <v>2155</v>
      </c>
      <c r="G177" s="27">
        <v>622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6" x14ac:dyDescent="0.25">
      <c r="A178" s="1"/>
      <c r="B178" s="21" t="s">
        <v>2102</v>
      </c>
      <c r="C178" s="21" t="s">
        <v>2103</v>
      </c>
      <c r="D178" s="114" t="s">
        <v>2156</v>
      </c>
      <c r="E178" s="27">
        <v>488</v>
      </c>
      <c r="F178" s="122" t="s">
        <v>2157</v>
      </c>
      <c r="G178" s="27">
        <v>607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.2" x14ac:dyDescent="0.25">
      <c r="A179" s="1"/>
      <c r="B179" s="34"/>
      <c r="C179" s="34"/>
      <c r="D179" s="123"/>
      <c r="E179" s="14"/>
      <c r="F179" s="1"/>
      <c r="G179" s="1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6" x14ac:dyDescent="0.25">
      <c r="A180" s="1"/>
      <c r="B180" s="37" t="s">
        <v>2158</v>
      </c>
      <c r="C180" s="37"/>
      <c r="D180" s="37"/>
      <c r="E180" s="14"/>
      <c r="F180" s="1"/>
      <c r="G180" s="1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6" x14ac:dyDescent="0.25">
      <c r="A181" s="1"/>
      <c r="B181" s="21">
        <v>4</v>
      </c>
      <c r="C181" s="21">
        <v>110</v>
      </c>
      <c r="D181" s="114" t="s">
        <v>2159</v>
      </c>
      <c r="E181" s="27">
        <v>22.4</v>
      </c>
      <c r="F181" s="122" t="s">
        <v>2160</v>
      </c>
      <c r="G181" s="27">
        <v>29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.2" x14ac:dyDescent="0.25">
      <c r="A182" s="1"/>
      <c r="B182" s="34"/>
      <c r="C182" s="34"/>
      <c r="D182" s="123"/>
      <c r="E182" s="14"/>
      <c r="F182" s="1"/>
      <c r="G182" s="1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6" x14ac:dyDescent="0.25">
      <c r="A183" s="1"/>
      <c r="B183" s="37" t="s">
        <v>2161</v>
      </c>
      <c r="C183" s="37"/>
      <c r="D183" s="37"/>
      <c r="E183" s="14"/>
      <c r="F183" s="1"/>
      <c r="G183" s="1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6" x14ac:dyDescent="0.25">
      <c r="A184" s="1"/>
      <c r="B184" s="21">
        <v>2</v>
      </c>
      <c r="C184" s="21">
        <v>63</v>
      </c>
      <c r="D184" s="114" t="s">
        <v>2162</v>
      </c>
      <c r="E184" s="27">
        <v>78</v>
      </c>
      <c r="F184" s="122"/>
      <c r="G184" s="2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6" x14ac:dyDescent="0.25">
      <c r="A185" s="1"/>
      <c r="B185" s="21" t="s">
        <v>54</v>
      </c>
      <c r="C185" s="21">
        <v>75</v>
      </c>
      <c r="D185" s="114" t="s">
        <v>2163</v>
      </c>
      <c r="E185" s="27">
        <v>90</v>
      </c>
      <c r="F185" s="122"/>
      <c r="G185" s="2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6" x14ac:dyDescent="0.25">
      <c r="A186" s="1"/>
      <c r="B186" s="21">
        <v>3</v>
      </c>
      <c r="C186" s="21">
        <v>90</v>
      </c>
      <c r="D186" s="114" t="s">
        <v>2164</v>
      </c>
      <c r="E186" s="27">
        <v>114</v>
      </c>
      <c r="F186" s="122"/>
      <c r="G186" s="2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6" x14ac:dyDescent="0.25">
      <c r="A187" s="1"/>
      <c r="B187" s="21">
        <v>4</v>
      </c>
      <c r="C187" s="21">
        <v>110</v>
      </c>
      <c r="D187" s="114" t="s">
        <v>2165</v>
      </c>
      <c r="E187" s="27">
        <v>126</v>
      </c>
      <c r="F187" s="122"/>
      <c r="G187" s="2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6" x14ac:dyDescent="0.25">
      <c r="A188" s="1"/>
      <c r="B188" s="21">
        <v>6</v>
      </c>
      <c r="C188" s="21">
        <v>160</v>
      </c>
      <c r="D188" s="114" t="s">
        <v>2166</v>
      </c>
      <c r="E188" s="27">
        <v>300</v>
      </c>
      <c r="F188" s="122"/>
      <c r="G188" s="2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2" x14ac:dyDescent="0.25">
      <c r="A189" s="1"/>
      <c r="B189" s="34"/>
      <c r="C189" s="34"/>
      <c r="D189" s="123"/>
      <c r="E189" s="14"/>
      <c r="F189" s="1"/>
      <c r="G189" s="1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6" x14ac:dyDescent="0.25">
      <c r="A190" s="1"/>
      <c r="B190" s="37" t="s">
        <v>2167</v>
      </c>
      <c r="C190" s="37"/>
      <c r="D190" s="37"/>
      <c r="E190" s="14"/>
      <c r="F190" s="1"/>
      <c r="G190" s="1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6" x14ac:dyDescent="0.25">
      <c r="A191" s="1"/>
      <c r="B191" s="21" t="s">
        <v>2168</v>
      </c>
      <c r="C191" s="21" t="s">
        <v>2169</v>
      </c>
      <c r="D191" s="114" t="s">
        <v>2170</v>
      </c>
      <c r="E191" s="27">
        <v>44</v>
      </c>
      <c r="F191" s="122"/>
      <c r="G191" s="2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6" x14ac:dyDescent="0.25">
      <c r="A192" s="1"/>
      <c r="B192" s="21" t="s">
        <v>2171</v>
      </c>
      <c r="C192" s="21" t="s">
        <v>2172</v>
      </c>
      <c r="D192" s="114" t="s">
        <v>2173</v>
      </c>
      <c r="E192" s="27">
        <v>92</v>
      </c>
      <c r="F192" s="122"/>
      <c r="G192" s="2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6" x14ac:dyDescent="0.25">
      <c r="A193" s="1"/>
      <c r="B193" s="21" t="s">
        <v>2171</v>
      </c>
      <c r="C193" s="21" t="s">
        <v>2174</v>
      </c>
      <c r="D193" s="114" t="s">
        <v>2175</v>
      </c>
      <c r="E193" s="27">
        <v>168</v>
      </c>
      <c r="F193" s="122"/>
      <c r="G193" s="2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.2" x14ac:dyDescent="0.25">
      <c r="A194" s="1"/>
      <c r="B194" s="34"/>
      <c r="C194" s="34"/>
      <c r="D194" s="123"/>
      <c r="E194" s="14"/>
      <c r="F194" s="1"/>
      <c r="G194" s="1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9.2" x14ac:dyDescent="0.25">
      <c r="A195" s="1"/>
      <c r="B195" s="81" t="s">
        <v>2176</v>
      </c>
      <c r="C195" s="81"/>
      <c r="D195" s="81"/>
      <c r="E195" s="14"/>
      <c r="F195" s="1"/>
      <c r="G195" s="1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.2" x14ac:dyDescent="0.25">
      <c r="A196" s="1"/>
      <c r="B196" s="34"/>
      <c r="C196" s="34"/>
      <c r="D196" s="123"/>
      <c r="E196" s="14"/>
      <c r="F196" s="1"/>
      <c r="G196" s="1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6" x14ac:dyDescent="0.25">
      <c r="A197" s="1"/>
      <c r="B197" s="37" t="s">
        <v>1769</v>
      </c>
      <c r="C197" s="37"/>
      <c r="D197" s="37"/>
      <c r="E197" s="14"/>
      <c r="F197" s="1"/>
      <c r="G197" s="1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6" x14ac:dyDescent="0.25">
      <c r="A198" s="1"/>
      <c r="B198" s="21" t="s">
        <v>54</v>
      </c>
      <c r="C198" s="21">
        <v>75</v>
      </c>
      <c r="D198" s="114" t="s">
        <v>2177</v>
      </c>
      <c r="E198" s="27">
        <v>68</v>
      </c>
      <c r="F198" s="122" t="s">
        <v>2178</v>
      </c>
      <c r="G198" s="27">
        <v>66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6" x14ac:dyDescent="0.25">
      <c r="A199" s="1"/>
      <c r="B199" s="66">
        <v>3</v>
      </c>
      <c r="C199" s="21">
        <v>90</v>
      </c>
      <c r="D199" s="114" t="s">
        <v>2179</v>
      </c>
      <c r="E199" s="27">
        <v>92</v>
      </c>
      <c r="F199" s="122" t="s">
        <v>2180</v>
      </c>
      <c r="G199" s="27">
        <v>83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6" x14ac:dyDescent="0.25">
      <c r="A200" s="1"/>
      <c r="B200" s="66">
        <v>4</v>
      </c>
      <c r="C200" s="21">
        <v>110</v>
      </c>
      <c r="D200" s="114" t="s">
        <v>2181</v>
      </c>
      <c r="E200" s="27">
        <v>126</v>
      </c>
      <c r="F200" s="122" t="s">
        <v>2182</v>
      </c>
      <c r="G200" s="27">
        <v>128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6" x14ac:dyDescent="0.25">
      <c r="A201" s="1"/>
      <c r="B201" s="66">
        <v>6</v>
      </c>
      <c r="C201" s="21">
        <v>160</v>
      </c>
      <c r="D201" s="114" t="s">
        <v>2183</v>
      </c>
      <c r="E201" s="27">
        <v>324</v>
      </c>
      <c r="F201" s="122" t="s">
        <v>2184</v>
      </c>
      <c r="G201" s="27">
        <v>348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.2" x14ac:dyDescent="0.25">
      <c r="A202" s="1"/>
      <c r="B202" s="34"/>
      <c r="C202" s="34"/>
      <c r="D202" s="123"/>
      <c r="E202" s="14"/>
      <c r="F202" s="1"/>
      <c r="G202" s="1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6" x14ac:dyDescent="0.25">
      <c r="A203" s="1"/>
      <c r="B203" s="37" t="s">
        <v>1893</v>
      </c>
      <c r="C203" s="37"/>
      <c r="D203" s="37"/>
      <c r="E203" s="14"/>
      <c r="F203" s="1"/>
      <c r="G203" s="1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6" x14ac:dyDescent="0.25">
      <c r="A204" s="1"/>
      <c r="B204" s="21" t="s">
        <v>54</v>
      </c>
      <c r="C204" s="21">
        <v>75</v>
      </c>
      <c r="D204" s="114" t="s">
        <v>2185</v>
      </c>
      <c r="E204" s="27">
        <v>80</v>
      </c>
      <c r="F204" s="122" t="s">
        <v>2186</v>
      </c>
      <c r="G204" s="27">
        <v>75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6" x14ac:dyDescent="0.25">
      <c r="A205" s="1"/>
      <c r="B205" s="66">
        <v>3</v>
      </c>
      <c r="C205" s="21">
        <v>90</v>
      </c>
      <c r="D205" s="114" t="s">
        <v>2187</v>
      </c>
      <c r="E205" s="27">
        <v>108</v>
      </c>
      <c r="F205" s="122" t="s">
        <v>2188</v>
      </c>
      <c r="G205" s="27">
        <v>117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6" x14ac:dyDescent="0.25">
      <c r="A206" s="1"/>
      <c r="B206" s="66">
        <v>4</v>
      </c>
      <c r="C206" s="21">
        <v>110</v>
      </c>
      <c r="D206" s="114" t="s">
        <v>2189</v>
      </c>
      <c r="E206" s="27">
        <v>158</v>
      </c>
      <c r="F206" s="122" t="s">
        <v>2190</v>
      </c>
      <c r="G206" s="27">
        <v>138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6" x14ac:dyDescent="0.25">
      <c r="A207" s="1"/>
      <c r="B207" s="66">
        <v>6</v>
      </c>
      <c r="C207" s="21">
        <v>160</v>
      </c>
      <c r="D207" s="114" t="s">
        <v>2191</v>
      </c>
      <c r="E207" s="27">
        <v>396</v>
      </c>
      <c r="F207" s="122" t="s">
        <v>2192</v>
      </c>
      <c r="G207" s="27">
        <v>435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.2" x14ac:dyDescent="0.25">
      <c r="A208" s="1"/>
      <c r="B208" s="34"/>
      <c r="C208" s="34"/>
      <c r="D208" s="123"/>
      <c r="E208" s="14"/>
      <c r="F208" s="1"/>
      <c r="G208" s="1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6" x14ac:dyDescent="0.25">
      <c r="A209" s="1"/>
      <c r="B209" s="37" t="s">
        <v>1811</v>
      </c>
      <c r="C209" s="37"/>
      <c r="D209" s="37"/>
      <c r="E209" s="14"/>
      <c r="F209" s="1"/>
      <c r="G209" s="1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6" x14ac:dyDescent="0.25">
      <c r="A210" s="1"/>
      <c r="B210" s="21" t="s">
        <v>54</v>
      </c>
      <c r="C210" s="21">
        <v>75</v>
      </c>
      <c r="D210" s="114" t="s">
        <v>2193</v>
      </c>
      <c r="E210" s="27">
        <v>89</v>
      </c>
      <c r="F210" s="122" t="s">
        <v>2194</v>
      </c>
      <c r="G210" s="27">
        <v>89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6" x14ac:dyDescent="0.25">
      <c r="A211" s="1"/>
      <c r="B211" s="66">
        <v>3</v>
      </c>
      <c r="C211" s="21">
        <v>90</v>
      </c>
      <c r="D211" s="114" t="s">
        <v>2195</v>
      </c>
      <c r="E211" s="27">
        <v>117.7</v>
      </c>
      <c r="F211" s="122" t="s">
        <v>2196</v>
      </c>
      <c r="G211" s="27">
        <v>151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6" x14ac:dyDescent="0.25">
      <c r="A212" s="1"/>
      <c r="B212" s="66">
        <v>4</v>
      </c>
      <c r="C212" s="21">
        <v>110</v>
      </c>
      <c r="D212" s="114" t="s">
        <v>2197</v>
      </c>
      <c r="E212" s="27">
        <v>180.3</v>
      </c>
      <c r="F212" s="122" t="s">
        <v>2198</v>
      </c>
      <c r="G212" s="27">
        <v>179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6" x14ac:dyDescent="0.25">
      <c r="A213" s="1"/>
      <c r="B213" s="66">
        <v>6</v>
      </c>
      <c r="C213" s="21">
        <v>160</v>
      </c>
      <c r="D213" s="114" t="s">
        <v>2199</v>
      </c>
      <c r="E213" s="27">
        <v>437.9</v>
      </c>
      <c r="F213" s="122" t="s">
        <v>2200</v>
      </c>
      <c r="G213" s="27">
        <v>471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.2" x14ac:dyDescent="0.25">
      <c r="A214" s="1"/>
      <c r="B214" s="34"/>
      <c r="C214" s="34"/>
      <c r="D214" s="123"/>
      <c r="E214" s="14"/>
      <c r="F214" s="1"/>
      <c r="G214" s="1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6" x14ac:dyDescent="0.25">
      <c r="A215" s="1"/>
      <c r="B215" s="37" t="s">
        <v>1928</v>
      </c>
      <c r="C215" s="37"/>
      <c r="D215" s="37"/>
      <c r="E215" s="14"/>
      <c r="F215" s="1"/>
      <c r="G215" s="1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6" x14ac:dyDescent="0.25">
      <c r="A216" s="1"/>
      <c r="B216" s="21" t="s">
        <v>54</v>
      </c>
      <c r="C216" s="21">
        <v>75</v>
      </c>
      <c r="D216" s="114" t="s">
        <v>2201</v>
      </c>
      <c r="E216" s="27">
        <v>48</v>
      </c>
      <c r="F216" s="122" t="s">
        <v>2202</v>
      </c>
      <c r="G216" s="27">
        <v>50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6" x14ac:dyDescent="0.25">
      <c r="A217" s="1"/>
      <c r="B217" s="66">
        <v>3</v>
      </c>
      <c r="C217" s="21">
        <v>90</v>
      </c>
      <c r="D217" s="114" t="s">
        <v>2203</v>
      </c>
      <c r="E217" s="27">
        <v>67</v>
      </c>
      <c r="F217" s="122" t="s">
        <v>2204</v>
      </c>
      <c r="G217" s="27">
        <v>76.5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6" x14ac:dyDescent="0.25">
      <c r="A218" s="1"/>
      <c r="B218" s="66">
        <v>4</v>
      </c>
      <c r="C218" s="21">
        <v>110</v>
      </c>
      <c r="D218" s="114" t="s">
        <v>2205</v>
      </c>
      <c r="E218" s="27">
        <v>88</v>
      </c>
      <c r="F218" s="122" t="s">
        <v>2206</v>
      </c>
      <c r="G218" s="27">
        <v>87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6" x14ac:dyDescent="0.25">
      <c r="A219" s="1"/>
      <c r="B219" s="66">
        <v>6</v>
      </c>
      <c r="C219" s="21">
        <v>160</v>
      </c>
      <c r="D219" s="114" t="s">
        <v>2207</v>
      </c>
      <c r="E219" s="27">
        <v>210.2</v>
      </c>
      <c r="F219" s="122" t="s">
        <v>2208</v>
      </c>
      <c r="G219" s="27">
        <v>273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.2" x14ac:dyDescent="0.25">
      <c r="A220" s="1"/>
      <c r="B220" s="34"/>
      <c r="C220" s="34"/>
      <c r="D220" s="123"/>
      <c r="E220" s="14"/>
      <c r="F220" s="1"/>
      <c r="G220" s="1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6" x14ac:dyDescent="0.25">
      <c r="A221" s="1"/>
      <c r="B221" s="37" t="s">
        <v>1844</v>
      </c>
      <c r="C221" s="37"/>
      <c r="D221" s="37"/>
      <c r="E221" s="14"/>
      <c r="F221" s="1"/>
      <c r="G221" s="1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6" x14ac:dyDescent="0.25">
      <c r="A222" s="1"/>
      <c r="B222" s="21" t="s">
        <v>54</v>
      </c>
      <c r="C222" s="21">
        <v>75</v>
      </c>
      <c r="D222" s="114" t="s">
        <v>2209</v>
      </c>
      <c r="E222" s="27">
        <v>52</v>
      </c>
      <c r="F222" s="122"/>
      <c r="G222" s="2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6" x14ac:dyDescent="0.25">
      <c r="A223" s="1"/>
      <c r="B223" s="66">
        <v>3</v>
      </c>
      <c r="C223" s="21">
        <v>90</v>
      </c>
      <c r="D223" s="114" t="s">
        <v>2210</v>
      </c>
      <c r="E223" s="27">
        <v>72</v>
      </c>
      <c r="F223" s="122"/>
      <c r="G223" s="2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6" x14ac:dyDescent="0.25">
      <c r="A224" s="1"/>
      <c r="B224" s="66">
        <v>4</v>
      </c>
      <c r="C224" s="21">
        <v>110</v>
      </c>
      <c r="D224" s="114" t="s">
        <v>2211</v>
      </c>
      <c r="E224" s="27">
        <v>94</v>
      </c>
      <c r="F224" s="122"/>
      <c r="G224" s="2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6" x14ac:dyDescent="0.25">
      <c r="A225" s="1"/>
      <c r="B225" s="66">
        <v>6</v>
      </c>
      <c r="C225" s="21">
        <v>160</v>
      </c>
      <c r="D225" s="114" t="s">
        <v>2212</v>
      </c>
      <c r="E225" s="27">
        <v>198</v>
      </c>
      <c r="F225" s="122"/>
      <c r="G225" s="2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.2" x14ac:dyDescent="0.25">
      <c r="A226" s="1"/>
      <c r="B226" s="34"/>
      <c r="C226" s="34"/>
      <c r="D226" s="123"/>
      <c r="E226" s="14"/>
      <c r="F226" s="1"/>
      <c r="G226" s="1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6" x14ac:dyDescent="0.25">
      <c r="A227" s="1"/>
      <c r="B227" s="37" t="s">
        <v>156</v>
      </c>
      <c r="C227" s="37"/>
      <c r="D227" s="37"/>
      <c r="E227" s="14"/>
      <c r="F227" s="1"/>
      <c r="G227" s="1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6" x14ac:dyDescent="0.25">
      <c r="A228" s="1"/>
      <c r="B228" s="21" t="s">
        <v>54</v>
      </c>
      <c r="C228" s="21">
        <v>75</v>
      </c>
      <c r="D228" s="114" t="s">
        <v>2213</v>
      </c>
      <c r="E228" s="27">
        <v>123</v>
      </c>
      <c r="F228" s="122" t="s">
        <v>2214</v>
      </c>
      <c r="G228" s="27">
        <v>100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6" x14ac:dyDescent="0.25">
      <c r="A229" s="1"/>
      <c r="B229" s="66">
        <v>3</v>
      </c>
      <c r="C229" s="21">
        <v>90</v>
      </c>
      <c r="D229" s="114" t="s">
        <v>2215</v>
      </c>
      <c r="E229" s="27">
        <v>160</v>
      </c>
      <c r="F229" s="122" t="s">
        <v>2216</v>
      </c>
      <c r="G229" s="27">
        <v>148.5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6" x14ac:dyDescent="0.25">
      <c r="A230" s="1"/>
      <c r="B230" s="66">
        <v>4</v>
      </c>
      <c r="C230" s="21">
        <v>110</v>
      </c>
      <c r="D230" s="114" t="s">
        <v>2217</v>
      </c>
      <c r="E230" s="27">
        <v>222</v>
      </c>
      <c r="F230" s="122" t="s">
        <v>2218</v>
      </c>
      <c r="G230" s="27">
        <v>189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6" x14ac:dyDescent="0.25">
      <c r="A231" s="1"/>
      <c r="B231" s="66">
        <v>6</v>
      </c>
      <c r="C231" s="21">
        <v>160</v>
      </c>
      <c r="D231" s="114" t="s">
        <v>2219</v>
      </c>
      <c r="E231" s="27">
        <v>564</v>
      </c>
      <c r="F231" s="122" t="s">
        <v>2220</v>
      </c>
      <c r="G231" s="27">
        <v>606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.2" x14ac:dyDescent="0.25">
      <c r="A232" s="1"/>
      <c r="B232" s="34"/>
      <c r="C232" s="34"/>
      <c r="D232" s="123"/>
      <c r="E232" s="14"/>
      <c r="F232" s="1"/>
      <c r="G232" s="1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6" x14ac:dyDescent="0.25">
      <c r="A233" s="1"/>
      <c r="B233" s="37" t="s">
        <v>2221</v>
      </c>
      <c r="C233" s="37"/>
      <c r="D233" s="37"/>
      <c r="E233" s="14"/>
      <c r="F233" s="1"/>
      <c r="G233" s="1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6" x14ac:dyDescent="0.25">
      <c r="A234" s="1"/>
      <c r="B234" s="21" t="s">
        <v>54</v>
      </c>
      <c r="C234" s="21">
        <v>75</v>
      </c>
      <c r="D234" s="114" t="s">
        <v>2222</v>
      </c>
      <c r="E234" s="27">
        <v>138</v>
      </c>
      <c r="F234" s="122" t="s">
        <v>2223</v>
      </c>
      <c r="G234" s="27">
        <v>120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6" x14ac:dyDescent="0.25">
      <c r="A235" s="1"/>
      <c r="B235" s="66">
        <v>3</v>
      </c>
      <c r="C235" s="21">
        <v>90</v>
      </c>
      <c r="D235" s="114" t="s">
        <v>2224</v>
      </c>
      <c r="E235" s="27">
        <v>178</v>
      </c>
      <c r="F235" s="122" t="s">
        <v>2225</v>
      </c>
      <c r="G235" s="27">
        <v>180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6" x14ac:dyDescent="0.25">
      <c r="A236" s="1"/>
      <c r="B236" s="66">
        <v>4</v>
      </c>
      <c r="C236" s="21">
        <v>110</v>
      </c>
      <c r="D236" s="114" t="s">
        <v>2226</v>
      </c>
      <c r="E236" s="27">
        <v>248</v>
      </c>
      <c r="F236" s="122" t="s">
        <v>2227</v>
      </c>
      <c r="G236" s="27">
        <v>235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6" x14ac:dyDescent="0.25">
      <c r="A237" s="1"/>
      <c r="B237" s="66">
        <v>6</v>
      </c>
      <c r="C237" s="21">
        <v>160</v>
      </c>
      <c r="D237" s="114" t="s">
        <v>2228</v>
      </c>
      <c r="E237" s="27">
        <v>585</v>
      </c>
      <c r="F237" s="122" t="s">
        <v>2229</v>
      </c>
      <c r="G237" s="27">
        <v>648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.2" x14ac:dyDescent="0.25">
      <c r="A238" s="1"/>
      <c r="B238" s="34"/>
      <c r="C238" s="34"/>
      <c r="D238" s="123"/>
      <c r="E238" s="14"/>
      <c r="F238" s="1"/>
      <c r="G238" s="1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6" x14ac:dyDescent="0.25">
      <c r="A239" s="1"/>
      <c r="B239" s="37" t="s">
        <v>2036</v>
      </c>
      <c r="C239" s="37"/>
      <c r="D239" s="37"/>
      <c r="E239" s="14"/>
      <c r="F239" s="1"/>
      <c r="G239" s="1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6" x14ac:dyDescent="0.25">
      <c r="A240" s="1"/>
      <c r="B240" s="21" t="s">
        <v>54</v>
      </c>
      <c r="C240" s="21">
        <v>75</v>
      </c>
      <c r="D240" s="114" t="s">
        <v>2230</v>
      </c>
      <c r="E240" s="27">
        <v>152</v>
      </c>
      <c r="F240" s="122" t="s">
        <v>2231</v>
      </c>
      <c r="G240" s="27">
        <v>124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6" x14ac:dyDescent="0.25">
      <c r="A241" s="1"/>
      <c r="B241" s="66">
        <v>3</v>
      </c>
      <c r="C241" s="21">
        <v>90</v>
      </c>
      <c r="D241" s="114" t="s">
        <v>2232</v>
      </c>
      <c r="E241" s="27">
        <v>197</v>
      </c>
      <c r="F241" s="122" t="s">
        <v>2233</v>
      </c>
      <c r="G241" s="27">
        <v>210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6" x14ac:dyDescent="0.25">
      <c r="A242" s="1"/>
      <c r="B242" s="66">
        <v>4</v>
      </c>
      <c r="C242" s="21">
        <v>110</v>
      </c>
      <c r="D242" s="114" t="s">
        <v>2234</v>
      </c>
      <c r="E242" s="27">
        <v>284</v>
      </c>
      <c r="F242" s="122" t="s">
        <v>2235</v>
      </c>
      <c r="G242" s="27">
        <v>252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6" x14ac:dyDescent="0.25">
      <c r="A243" s="1"/>
      <c r="B243" s="66">
        <v>6</v>
      </c>
      <c r="C243" s="21">
        <v>160</v>
      </c>
      <c r="D243" s="114" t="s">
        <v>2236</v>
      </c>
      <c r="E243" s="27">
        <v>738</v>
      </c>
      <c r="F243" s="122" t="s">
        <v>2237</v>
      </c>
      <c r="G243" s="27">
        <v>862.5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2" x14ac:dyDescent="0.25">
      <c r="A244" s="1"/>
      <c r="B244" s="34"/>
      <c r="C244" s="34"/>
      <c r="D244" s="123"/>
      <c r="E244" s="14"/>
      <c r="F244" s="1"/>
      <c r="G244" s="1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6" x14ac:dyDescent="0.25">
      <c r="A245" s="1"/>
      <c r="B245" s="37" t="s">
        <v>2001</v>
      </c>
      <c r="C245" s="37"/>
      <c r="D245" s="37"/>
      <c r="E245" s="14"/>
      <c r="F245" s="1"/>
      <c r="G245" s="1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6" x14ac:dyDescent="0.25">
      <c r="A246" s="1"/>
      <c r="B246" s="21" t="s">
        <v>54</v>
      </c>
      <c r="C246" s="21">
        <v>75</v>
      </c>
      <c r="D246" s="114" t="s">
        <v>2238</v>
      </c>
      <c r="E246" s="27">
        <v>162</v>
      </c>
      <c r="F246" s="122" t="s">
        <v>2239</v>
      </c>
      <c r="G246" s="27">
        <v>151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6" x14ac:dyDescent="0.25">
      <c r="A247" s="1"/>
      <c r="B247" s="66">
        <v>3</v>
      </c>
      <c r="C247" s="21">
        <v>90</v>
      </c>
      <c r="D247" s="114" t="s">
        <v>2240</v>
      </c>
      <c r="E247" s="27">
        <v>218</v>
      </c>
      <c r="F247" s="122" t="s">
        <v>2241</v>
      </c>
      <c r="G247" s="27">
        <v>265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6" x14ac:dyDescent="0.25">
      <c r="A248" s="1"/>
      <c r="B248" s="66">
        <v>4</v>
      </c>
      <c r="C248" s="21">
        <v>110</v>
      </c>
      <c r="D248" s="114" t="s">
        <v>2242</v>
      </c>
      <c r="E248" s="27">
        <v>318</v>
      </c>
      <c r="F248" s="53" t="s">
        <v>2243</v>
      </c>
      <c r="G248" s="27">
        <v>310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6" x14ac:dyDescent="0.25">
      <c r="A249" s="1"/>
      <c r="B249" s="66">
        <v>6</v>
      </c>
      <c r="C249" s="21">
        <v>160</v>
      </c>
      <c r="D249" s="114" t="s">
        <v>2244</v>
      </c>
      <c r="E249" s="27">
        <v>778</v>
      </c>
      <c r="F249" s="122" t="s">
        <v>2245</v>
      </c>
      <c r="G249" s="27">
        <v>982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.2" x14ac:dyDescent="0.25">
      <c r="A250" s="1"/>
      <c r="B250" s="1"/>
      <c r="C250" s="1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.2" x14ac:dyDescent="0.25">
      <c r="A251" s="1"/>
      <c r="B251" s="1"/>
      <c r="C251" s="1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.2" x14ac:dyDescent="0.25">
      <c r="A252" s="1"/>
      <c r="B252" s="1"/>
      <c r="C252" s="1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.2" x14ac:dyDescent="0.25">
      <c r="A253" s="1"/>
      <c r="B253" s="1"/>
      <c r="C253" s="1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.2" x14ac:dyDescent="0.25">
      <c r="A254" s="1"/>
      <c r="B254" s="1"/>
      <c r="C254" s="1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.2" x14ac:dyDescent="0.25">
      <c r="A255" s="1"/>
      <c r="B255" s="1"/>
      <c r="C255" s="1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.2" x14ac:dyDescent="0.25">
      <c r="A256" s="1"/>
      <c r="B256" s="1"/>
      <c r="C256" s="1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.2" x14ac:dyDescent="0.25">
      <c r="A258" s="1"/>
      <c r="B258" s="1"/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.2" x14ac:dyDescent="0.25">
      <c r="A259" s="1"/>
      <c r="B259" s="1"/>
      <c r="C259" s="1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.2" x14ac:dyDescent="0.25">
      <c r="A260" s="1"/>
      <c r="B260" s="1"/>
      <c r="C260" s="1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.2" x14ac:dyDescent="0.25">
      <c r="A261" s="1"/>
      <c r="B261" s="1"/>
      <c r="C261" s="1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.2" x14ac:dyDescent="0.25">
      <c r="A262" s="1"/>
      <c r="B262" s="1"/>
      <c r="C262" s="1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.2" x14ac:dyDescent="0.25">
      <c r="A263" s="1"/>
      <c r="B263" s="1"/>
      <c r="C263" s="1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.2" x14ac:dyDescent="0.25">
      <c r="A264" s="1"/>
      <c r="B264" s="1"/>
      <c r="C264" s="1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.2" x14ac:dyDescent="0.25">
      <c r="A265" s="1"/>
      <c r="B265" s="1"/>
      <c r="C265" s="1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.2" x14ac:dyDescent="0.25">
      <c r="A266" s="1"/>
      <c r="B266" s="1"/>
      <c r="C266" s="1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.2" x14ac:dyDescent="0.25">
      <c r="A267" s="1"/>
      <c r="B267" s="1"/>
      <c r="C267" s="1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.2" x14ac:dyDescent="0.25">
      <c r="A268" s="1"/>
      <c r="B268" s="1"/>
      <c r="C268" s="1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.2" x14ac:dyDescent="0.25">
      <c r="A269" s="1"/>
      <c r="B269" s="1"/>
      <c r="C269" s="1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.2" x14ac:dyDescent="0.25">
      <c r="A270" s="1"/>
      <c r="B270" s="1"/>
      <c r="C270" s="1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.2" x14ac:dyDescent="0.25">
      <c r="A271" s="1"/>
      <c r="B271" s="1"/>
      <c r="C271" s="1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.2" x14ac:dyDescent="0.25">
      <c r="A272" s="1"/>
      <c r="B272" s="1"/>
      <c r="C272" s="1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.2" x14ac:dyDescent="0.25">
      <c r="A273" s="1"/>
      <c r="B273" s="1"/>
      <c r="C273" s="1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.2" x14ac:dyDescent="0.25">
      <c r="A274" s="1"/>
      <c r="B274" s="1"/>
      <c r="C274" s="1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.2" x14ac:dyDescent="0.25">
      <c r="A275" s="1"/>
      <c r="B275" s="1"/>
      <c r="C275" s="1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.2" x14ac:dyDescent="0.25">
      <c r="A276" s="1"/>
      <c r="B276" s="1"/>
      <c r="C276" s="1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.2" x14ac:dyDescent="0.25">
      <c r="A277" s="1"/>
      <c r="B277" s="1"/>
      <c r="C277" s="1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.2" x14ac:dyDescent="0.25">
      <c r="A278" s="1"/>
      <c r="B278" s="1"/>
      <c r="C278" s="1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.2" x14ac:dyDescent="0.25">
      <c r="A279" s="1"/>
      <c r="B279" s="1"/>
      <c r="C279" s="1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.2" x14ac:dyDescent="0.25">
      <c r="A280" s="1"/>
      <c r="B280" s="1"/>
      <c r="C280" s="1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2" x14ac:dyDescent="0.25">
      <c r="A281" s="1"/>
      <c r="B281" s="1"/>
      <c r="C281" s="1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.2" x14ac:dyDescent="0.25">
      <c r="A282" s="1"/>
      <c r="B282" s="1"/>
      <c r="C282" s="1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.2" x14ac:dyDescent="0.25">
      <c r="A283" s="1"/>
      <c r="B283" s="1"/>
      <c r="C283" s="1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.2" x14ac:dyDescent="0.25">
      <c r="A284" s="1"/>
      <c r="B284" s="1"/>
      <c r="C284" s="1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.2" x14ac:dyDescent="0.25">
      <c r="A285" s="1"/>
      <c r="B285" s="1"/>
      <c r="C285" s="1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.2" x14ac:dyDescent="0.25">
      <c r="A286" s="1"/>
      <c r="B286" s="1"/>
      <c r="C286" s="1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.2" x14ac:dyDescent="0.25">
      <c r="A287" s="1"/>
      <c r="B287" s="1"/>
      <c r="C287" s="1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.2" x14ac:dyDescent="0.25">
      <c r="A288" s="1"/>
      <c r="B288" s="1"/>
      <c r="C288" s="1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.2" x14ac:dyDescent="0.25">
      <c r="A289" s="1"/>
      <c r="B289" s="1"/>
      <c r="C289" s="1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.2" x14ac:dyDescent="0.25">
      <c r="A290" s="1"/>
      <c r="B290" s="1"/>
      <c r="C290" s="1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.2" x14ac:dyDescent="0.25">
      <c r="A291" s="1"/>
      <c r="B291" s="1"/>
      <c r="C291" s="1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.2" x14ac:dyDescent="0.25">
      <c r="A292" s="1"/>
      <c r="B292" s="1"/>
      <c r="C292" s="1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.2" x14ac:dyDescent="0.25">
      <c r="A293" s="1"/>
      <c r="B293" s="1"/>
      <c r="C293" s="1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.2" x14ac:dyDescent="0.25">
      <c r="A294" s="1"/>
      <c r="B294" s="1"/>
      <c r="C294" s="1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.2" x14ac:dyDescent="0.25">
      <c r="A295" s="1"/>
      <c r="B295" s="1"/>
      <c r="C295" s="1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.2" x14ac:dyDescent="0.25">
      <c r="A296" s="1"/>
      <c r="B296" s="1"/>
      <c r="C296" s="1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.2" x14ac:dyDescent="0.25">
      <c r="A297" s="1"/>
      <c r="B297" s="1"/>
      <c r="C297" s="1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.2" x14ac:dyDescent="0.25">
      <c r="A298" s="1"/>
      <c r="B298" s="1"/>
      <c r="C298" s="1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.2" x14ac:dyDescent="0.25">
      <c r="A299" s="1"/>
      <c r="B299" s="1"/>
      <c r="C299" s="1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.2" x14ac:dyDescent="0.25">
      <c r="A300" s="1"/>
      <c r="B300" s="1"/>
      <c r="C300" s="1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.2" x14ac:dyDescent="0.25">
      <c r="A301" s="1"/>
      <c r="B301" s="1"/>
      <c r="C301" s="1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.2" x14ac:dyDescent="0.25">
      <c r="A302" s="1"/>
      <c r="B302" s="1"/>
      <c r="C302" s="1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.2" x14ac:dyDescent="0.25">
      <c r="A303" s="1"/>
      <c r="B303" s="1"/>
      <c r="C303" s="1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.2" x14ac:dyDescent="0.25">
      <c r="A304" s="1"/>
      <c r="B304" s="1"/>
      <c r="C304" s="1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.2" x14ac:dyDescent="0.25">
      <c r="A305" s="1"/>
      <c r="B305" s="1"/>
      <c r="C305" s="1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.2" x14ac:dyDescent="0.25">
      <c r="A306" s="1"/>
      <c r="B306" s="1"/>
      <c r="C306" s="1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.2" x14ac:dyDescent="0.25">
      <c r="A307" s="1"/>
      <c r="B307" s="1"/>
      <c r="C307" s="1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.2" x14ac:dyDescent="0.25">
      <c r="A308" s="1"/>
      <c r="B308" s="1"/>
      <c r="C308" s="1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.2" x14ac:dyDescent="0.25">
      <c r="A309" s="1"/>
      <c r="B309" s="1"/>
      <c r="C309" s="1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.2" x14ac:dyDescent="0.25">
      <c r="A310" s="1"/>
      <c r="B310" s="1"/>
      <c r="C310" s="1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.2" x14ac:dyDescent="0.25">
      <c r="A311" s="1"/>
      <c r="B311" s="1"/>
      <c r="C311" s="1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.2" x14ac:dyDescent="0.25">
      <c r="A312" s="1"/>
      <c r="B312" s="1"/>
      <c r="C312" s="1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.2" x14ac:dyDescent="0.25">
      <c r="A313" s="1"/>
      <c r="B313" s="1"/>
      <c r="C313" s="1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.2" x14ac:dyDescent="0.25">
      <c r="A314" s="1"/>
      <c r="B314" s="1"/>
      <c r="C314" s="1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.2" x14ac:dyDescent="0.25">
      <c r="A315" s="1"/>
      <c r="B315" s="1"/>
      <c r="C315" s="1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.2" x14ac:dyDescent="0.25">
      <c r="A316" s="1"/>
      <c r="B316" s="1"/>
      <c r="C316" s="1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.2" x14ac:dyDescent="0.25">
      <c r="A317" s="1"/>
      <c r="B317" s="1"/>
      <c r="C317" s="1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2" x14ac:dyDescent="0.25">
      <c r="A318" s="1"/>
      <c r="B318" s="1"/>
      <c r="C318" s="1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.2" x14ac:dyDescent="0.25">
      <c r="A319" s="1"/>
      <c r="B319" s="1"/>
      <c r="C319" s="1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.2" x14ac:dyDescent="0.25">
      <c r="A320" s="1"/>
      <c r="B320" s="1"/>
      <c r="C320" s="1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.2" x14ac:dyDescent="0.25">
      <c r="A321" s="1"/>
      <c r="B321" s="1"/>
      <c r="C321" s="1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.2" x14ac:dyDescent="0.25">
      <c r="A322" s="1"/>
      <c r="B322" s="1"/>
      <c r="C322" s="1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.2" x14ac:dyDescent="0.25">
      <c r="A323" s="1"/>
      <c r="B323" s="1"/>
      <c r="C323" s="1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.2" x14ac:dyDescent="0.25">
      <c r="A324" s="1"/>
      <c r="B324" s="1"/>
      <c r="C324" s="1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.2" x14ac:dyDescent="0.25">
      <c r="A325" s="1"/>
      <c r="B325" s="1"/>
      <c r="C325" s="1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.2" x14ac:dyDescent="0.25">
      <c r="A326" s="1"/>
      <c r="B326" s="1"/>
      <c r="C326" s="1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.2" x14ac:dyDescent="0.25">
      <c r="A327" s="1"/>
      <c r="B327" s="1"/>
      <c r="C327" s="1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.2" x14ac:dyDescent="0.25">
      <c r="A328" s="1"/>
      <c r="B328" s="1"/>
      <c r="C328" s="1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.2" x14ac:dyDescent="0.25">
      <c r="A329" s="1"/>
      <c r="B329" s="1"/>
      <c r="C329" s="1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2" x14ac:dyDescent="0.25">
      <c r="A330" s="1"/>
      <c r="B330" s="1"/>
      <c r="C330" s="1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.2" x14ac:dyDescent="0.25">
      <c r="A331" s="1"/>
      <c r="B331" s="1"/>
      <c r="C331" s="1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.2" x14ac:dyDescent="0.25">
      <c r="A332" s="1"/>
      <c r="B332" s="1"/>
      <c r="C332" s="1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.2" x14ac:dyDescent="0.25">
      <c r="A333" s="1"/>
      <c r="B333" s="1"/>
      <c r="C333" s="1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.2" x14ac:dyDescent="0.25">
      <c r="A334" s="1"/>
      <c r="B334" s="1"/>
      <c r="C334" s="1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2" x14ac:dyDescent="0.25">
      <c r="A335" s="1"/>
      <c r="B335" s="1"/>
      <c r="C335" s="1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.2" x14ac:dyDescent="0.25">
      <c r="A336" s="1"/>
      <c r="B336" s="1"/>
      <c r="C336" s="1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.2" x14ac:dyDescent="0.25">
      <c r="A337" s="1"/>
      <c r="B337" s="1"/>
      <c r="C337" s="1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.2" x14ac:dyDescent="0.25">
      <c r="A338" s="1"/>
      <c r="B338" s="1"/>
      <c r="C338" s="1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.2" x14ac:dyDescent="0.25">
      <c r="A339" s="1"/>
      <c r="B339" s="1"/>
      <c r="C339" s="1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2" x14ac:dyDescent="0.25">
      <c r="A340" s="1"/>
      <c r="B340" s="1"/>
      <c r="C340" s="1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2" x14ac:dyDescent="0.25">
      <c r="A341" s="1"/>
      <c r="B341" s="1"/>
      <c r="C341" s="1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.2" x14ac:dyDescent="0.25">
      <c r="A342" s="1"/>
      <c r="B342" s="1"/>
      <c r="C342" s="1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2" x14ac:dyDescent="0.25">
      <c r="A343" s="1"/>
      <c r="B343" s="1"/>
      <c r="C343" s="1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.2" x14ac:dyDescent="0.25">
      <c r="A344" s="1"/>
      <c r="B344" s="1"/>
      <c r="C344" s="1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2" x14ac:dyDescent="0.25">
      <c r="A345" s="1"/>
      <c r="B345" s="1"/>
      <c r="C345" s="1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.2" x14ac:dyDescent="0.25">
      <c r="A346" s="1"/>
      <c r="B346" s="1"/>
      <c r="C346" s="1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.2" x14ac:dyDescent="0.25">
      <c r="A347" s="1"/>
      <c r="B347" s="1"/>
      <c r="C347" s="1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.2" x14ac:dyDescent="0.25">
      <c r="A348" s="1"/>
      <c r="B348" s="1"/>
      <c r="C348" s="1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.2" x14ac:dyDescent="0.25">
      <c r="A349" s="1"/>
      <c r="B349" s="1"/>
      <c r="C349" s="1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.2" x14ac:dyDescent="0.25">
      <c r="A350" s="1"/>
      <c r="B350" s="1"/>
      <c r="C350" s="1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.2" x14ac:dyDescent="0.25">
      <c r="A351" s="1"/>
      <c r="B351" s="1"/>
      <c r="C351" s="1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.2" x14ac:dyDescent="0.25">
      <c r="A352" s="1"/>
      <c r="B352" s="1"/>
      <c r="C352" s="1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.2" x14ac:dyDescent="0.25">
      <c r="A353" s="1"/>
      <c r="B353" s="1"/>
      <c r="C353" s="1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.2" x14ac:dyDescent="0.25">
      <c r="A354" s="1"/>
      <c r="B354" s="1"/>
      <c r="C354" s="1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.2" x14ac:dyDescent="0.25">
      <c r="A355" s="1"/>
      <c r="B355" s="1"/>
      <c r="C355" s="1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2" x14ac:dyDescent="0.25">
      <c r="A356" s="1"/>
      <c r="B356" s="1"/>
      <c r="C356" s="1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.2" x14ac:dyDescent="0.25">
      <c r="A357" s="1"/>
      <c r="B357" s="1"/>
      <c r="C357" s="1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.2" x14ac:dyDescent="0.25">
      <c r="A358" s="1"/>
      <c r="B358" s="1"/>
      <c r="C358" s="1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.2" x14ac:dyDescent="0.25">
      <c r="A359" s="1"/>
      <c r="B359" s="1"/>
      <c r="C359" s="1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.2" x14ac:dyDescent="0.25">
      <c r="A360" s="1"/>
      <c r="B360" s="1"/>
      <c r="C360" s="1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</sheetData>
  <mergeCells count="2">
    <mergeCell ref="D1:E1"/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001"/>
  <sheetViews>
    <sheetView workbookViewId="0">
      <pane ySplit="2" topLeftCell="A3" activePane="bottomLeft" state="frozen"/>
      <selection pane="bottomLeft" activeCell="I14" sqref="I14"/>
    </sheetView>
  </sheetViews>
  <sheetFormatPr defaultColWidth="12.6640625" defaultRowHeight="15.75" customHeight="1" x14ac:dyDescent="0.25"/>
  <cols>
    <col min="1" max="1" width="3.21875" customWidth="1"/>
    <col min="2" max="2" width="11" customWidth="1"/>
    <col min="4" max="4" width="14.44140625" customWidth="1"/>
    <col min="5" max="5" width="15" customWidth="1"/>
  </cols>
  <sheetData>
    <row r="1" spans="1:23" ht="19.2" x14ac:dyDescent="0.25">
      <c r="A1" s="1"/>
      <c r="B1" s="126"/>
      <c r="C1" s="170" t="s">
        <v>0</v>
      </c>
      <c r="D1" s="181"/>
      <c r="E1" s="171"/>
      <c r="F1" s="170" t="s">
        <v>1</v>
      </c>
      <c r="G1" s="181"/>
      <c r="H1" s="1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25">
      <c r="A2" s="1"/>
      <c r="B2" s="3" t="s">
        <v>4</v>
      </c>
      <c r="C2" s="5" t="s">
        <v>5</v>
      </c>
      <c r="D2" s="6" t="s">
        <v>1925</v>
      </c>
      <c r="E2" s="6" t="s">
        <v>6</v>
      </c>
      <c r="F2" s="127" t="s">
        <v>5</v>
      </c>
      <c r="G2" s="128" t="s">
        <v>1925</v>
      </c>
      <c r="H2" s="8">
        <v>46235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2" x14ac:dyDescent="0.25">
      <c r="A3" s="1"/>
      <c r="B3" s="120" t="s">
        <v>1936</v>
      </c>
      <c r="C3" s="16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2" x14ac:dyDescent="0.25">
      <c r="A4" s="1"/>
      <c r="B4" s="129" t="s">
        <v>1942</v>
      </c>
      <c r="C4" s="16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3">
      <c r="A5" s="1"/>
      <c r="B5" s="130">
        <v>40</v>
      </c>
      <c r="C5" s="131" t="s">
        <v>1951</v>
      </c>
      <c r="D5" s="132">
        <f t="shared" ref="D5:D8" si="0">E5/3</f>
        <v>309.33333333333331</v>
      </c>
      <c r="E5" s="72">
        <v>928</v>
      </c>
      <c r="F5" s="23" t="s">
        <v>1969</v>
      </c>
      <c r="G5" s="133"/>
      <c r="H5" s="13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6" x14ac:dyDescent="0.3">
      <c r="A6" s="1"/>
      <c r="B6" s="130">
        <v>50</v>
      </c>
      <c r="C6" s="131" t="s">
        <v>1972</v>
      </c>
      <c r="D6" s="132">
        <f t="shared" si="0"/>
        <v>448</v>
      </c>
      <c r="E6" s="135">
        <v>1344</v>
      </c>
      <c r="F6" s="23" t="s">
        <v>1975</v>
      </c>
      <c r="G6" s="133">
        <v>472</v>
      </c>
      <c r="H6" s="134">
        <v>1416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6" x14ac:dyDescent="0.3">
      <c r="A7" s="1"/>
      <c r="B7" s="130">
        <v>80</v>
      </c>
      <c r="C7" s="131" t="s">
        <v>1977</v>
      </c>
      <c r="D7" s="132">
        <f t="shared" si="0"/>
        <v>682.66666666666663</v>
      </c>
      <c r="E7" s="135">
        <v>2048</v>
      </c>
      <c r="F7" s="23" t="s">
        <v>1981</v>
      </c>
      <c r="G7" s="136"/>
      <c r="H7" s="13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6" x14ac:dyDescent="0.3">
      <c r="A8" s="1"/>
      <c r="B8" s="130">
        <v>100</v>
      </c>
      <c r="C8" s="131" t="s">
        <v>1984</v>
      </c>
      <c r="D8" s="132">
        <f t="shared" si="0"/>
        <v>1002.6666666666666</v>
      </c>
      <c r="E8" s="135">
        <v>3008</v>
      </c>
      <c r="F8" s="23" t="s">
        <v>1988</v>
      </c>
      <c r="G8" s="136">
        <v>1036</v>
      </c>
      <c r="H8" s="134">
        <v>3108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6" x14ac:dyDescent="0.3">
      <c r="A9" s="1"/>
      <c r="B9" s="130">
        <v>115</v>
      </c>
      <c r="C9" s="131" t="s">
        <v>1991</v>
      </c>
      <c r="D9" s="132"/>
      <c r="E9" s="72"/>
      <c r="F9" s="23" t="s">
        <v>1997</v>
      </c>
      <c r="G9" s="133"/>
      <c r="H9" s="13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6" x14ac:dyDescent="0.3">
      <c r="A10" s="1"/>
      <c r="B10" s="130">
        <v>125</v>
      </c>
      <c r="C10" s="131" t="s">
        <v>2000</v>
      </c>
      <c r="D10" s="132">
        <f t="shared" ref="D10:D11" si="1">E10/3</f>
        <v>1546.6666666666667</v>
      </c>
      <c r="E10" s="135">
        <v>4640</v>
      </c>
      <c r="F10" s="23" t="s">
        <v>2002</v>
      </c>
      <c r="G10" s="136">
        <v>1575</v>
      </c>
      <c r="H10" s="134">
        <v>4725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6" x14ac:dyDescent="0.3">
      <c r="A11" s="1"/>
      <c r="B11" s="130">
        <v>150</v>
      </c>
      <c r="C11" s="131" t="s">
        <v>2005</v>
      </c>
      <c r="D11" s="132">
        <f t="shared" si="1"/>
        <v>2112</v>
      </c>
      <c r="E11" s="135">
        <v>6336</v>
      </c>
      <c r="F11" s="23" t="s">
        <v>2007</v>
      </c>
      <c r="G11" s="136">
        <v>2145</v>
      </c>
      <c r="H11" s="134">
        <v>6435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6" x14ac:dyDescent="0.3">
      <c r="A12" s="1"/>
      <c r="B12" s="130">
        <v>175</v>
      </c>
      <c r="C12" s="131" t="s">
        <v>2010</v>
      </c>
      <c r="D12" s="132"/>
      <c r="E12" s="72"/>
      <c r="F12" s="23" t="s">
        <v>2011</v>
      </c>
      <c r="G12" s="133"/>
      <c r="H12" s="13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6" x14ac:dyDescent="0.3">
      <c r="A13" s="1"/>
      <c r="B13" s="130">
        <v>200</v>
      </c>
      <c r="C13" s="131" t="s">
        <v>2012</v>
      </c>
      <c r="D13" s="132"/>
      <c r="E13" s="72"/>
      <c r="F13" s="23" t="s">
        <v>2013</v>
      </c>
      <c r="G13" s="133">
        <v>3979</v>
      </c>
      <c r="H13" s="134">
        <v>11937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3.2" x14ac:dyDescent="0.25">
      <c r="A14" s="1"/>
      <c r="B14" s="126"/>
      <c r="C14" s="16"/>
      <c r="D14" s="18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2" x14ac:dyDescent="0.25">
      <c r="A15" s="1"/>
      <c r="B15" s="129" t="s">
        <v>2016</v>
      </c>
      <c r="C15" s="16"/>
      <c r="D15" s="18"/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6" x14ac:dyDescent="0.3">
      <c r="A16" s="1"/>
      <c r="B16" s="137">
        <v>40</v>
      </c>
      <c r="C16" s="138" t="s">
        <v>2022</v>
      </c>
      <c r="D16" s="132">
        <f t="shared" ref="D16:D24" si="2">E16/3</f>
        <v>250.66666666666666</v>
      </c>
      <c r="E16" s="72">
        <v>752</v>
      </c>
      <c r="F16" s="23" t="s">
        <v>2027</v>
      </c>
      <c r="G16" s="133">
        <v>233</v>
      </c>
      <c r="H16" s="134">
        <v>699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6" x14ac:dyDescent="0.3">
      <c r="A17" s="1"/>
      <c r="B17" s="130">
        <v>50</v>
      </c>
      <c r="C17" s="138" t="s">
        <v>2029</v>
      </c>
      <c r="D17" s="132">
        <f t="shared" si="2"/>
        <v>352</v>
      </c>
      <c r="E17" s="135">
        <v>1056</v>
      </c>
      <c r="F17" s="23" t="s">
        <v>2031</v>
      </c>
      <c r="G17" s="133">
        <v>326</v>
      </c>
      <c r="H17" s="134">
        <v>978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6" x14ac:dyDescent="0.3">
      <c r="A18" s="1"/>
      <c r="B18" s="130">
        <v>80</v>
      </c>
      <c r="C18" s="138" t="s">
        <v>2035</v>
      </c>
      <c r="D18" s="132">
        <f t="shared" si="2"/>
        <v>528</v>
      </c>
      <c r="E18" s="135">
        <v>1584</v>
      </c>
      <c r="F18" s="23" t="s">
        <v>2037</v>
      </c>
      <c r="G18" s="136">
        <v>487</v>
      </c>
      <c r="H18" s="134">
        <v>1461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x14ac:dyDescent="0.3">
      <c r="A19" s="1"/>
      <c r="B19" s="130">
        <v>100</v>
      </c>
      <c r="C19" s="138" t="s">
        <v>2040</v>
      </c>
      <c r="D19" s="132">
        <f t="shared" si="2"/>
        <v>848</v>
      </c>
      <c r="E19" s="135">
        <v>2544</v>
      </c>
      <c r="F19" s="23" t="s">
        <v>2042</v>
      </c>
      <c r="G19" s="136">
        <v>804</v>
      </c>
      <c r="H19" s="134">
        <v>2412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1"/>
      <c r="B20" s="130">
        <v>115</v>
      </c>
      <c r="C20" s="138" t="s">
        <v>2046</v>
      </c>
      <c r="D20" s="132">
        <f t="shared" si="2"/>
        <v>1032</v>
      </c>
      <c r="E20" s="135">
        <v>3096</v>
      </c>
      <c r="F20" s="23" t="s">
        <v>2049</v>
      </c>
      <c r="G20" s="133">
        <v>894</v>
      </c>
      <c r="H20" s="134">
        <v>2682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6" x14ac:dyDescent="0.3">
      <c r="A21" s="1"/>
      <c r="B21" s="130">
        <v>125</v>
      </c>
      <c r="C21" s="138" t="s">
        <v>2051</v>
      </c>
      <c r="D21" s="132">
        <f t="shared" si="2"/>
        <v>1330</v>
      </c>
      <c r="E21" s="135">
        <v>3990</v>
      </c>
      <c r="F21" s="23" t="s">
        <v>2053</v>
      </c>
      <c r="G21" s="136">
        <v>1323</v>
      </c>
      <c r="H21" s="134">
        <v>3969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3">
      <c r="A22" s="1"/>
      <c r="B22" s="130">
        <v>150</v>
      </c>
      <c r="C22" s="138" t="s">
        <v>2054</v>
      </c>
      <c r="D22" s="132">
        <f t="shared" si="2"/>
        <v>1863.3333333333333</v>
      </c>
      <c r="E22" s="135">
        <v>5590</v>
      </c>
      <c r="F22" s="23" t="s">
        <v>2056</v>
      </c>
      <c r="G22" s="136">
        <v>1769</v>
      </c>
      <c r="H22" s="134">
        <v>5307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3">
      <c r="A23" s="1"/>
      <c r="B23" s="130">
        <v>175</v>
      </c>
      <c r="C23" s="138" t="s">
        <v>2057</v>
      </c>
      <c r="D23" s="132">
        <f t="shared" si="2"/>
        <v>2773.3333333333335</v>
      </c>
      <c r="E23" s="135">
        <v>8320</v>
      </c>
      <c r="F23" s="23" t="s">
        <v>2059</v>
      </c>
      <c r="G23" s="133">
        <v>2502</v>
      </c>
      <c r="H23" s="134">
        <v>7506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6" x14ac:dyDescent="0.3">
      <c r="A24" s="1"/>
      <c r="B24" s="130">
        <v>200</v>
      </c>
      <c r="C24" s="138" t="s">
        <v>2062</v>
      </c>
      <c r="D24" s="132">
        <f t="shared" si="2"/>
        <v>3520</v>
      </c>
      <c r="E24" s="135">
        <v>10560</v>
      </c>
      <c r="F24" s="23" t="s">
        <v>2063</v>
      </c>
      <c r="G24" s="133">
        <v>3216</v>
      </c>
      <c r="H24" s="134">
        <v>9648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.2" x14ac:dyDescent="0.25">
      <c r="A25" s="1"/>
      <c r="B25" s="126"/>
      <c r="C25" s="16"/>
      <c r="D25" s="18"/>
      <c r="E25" s="1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.2" x14ac:dyDescent="0.25">
      <c r="A26" s="1"/>
      <c r="B26" s="126"/>
      <c r="C26" s="16"/>
      <c r="D26" s="18"/>
      <c r="E26" s="1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2" x14ac:dyDescent="0.25">
      <c r="A27" s="1"/>
      <c r="B27" s="126"/>
      <c r="C27" s="16"/>
      <c r="D27" s="18"/>
      <c r="E27" s="1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.2" x14ac:dyDescent="0.25">
      <c r="A28" s="1"/>
      <c r="B28" s="126"/>
      <c r="C28" s="16"/>
      <c r="D28" s="18"/>
      <c r="E28" s="1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3.2" x14ac:dyDescent="0.25">
      <c r="A29" s="1"/>
      <c r="B29" s="126"/>
      <c r="C29" s="16"/>
      <c r="D29" s="18"/>
      <c r="E29" s="1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3.2" x14ac:dyDescent="0.25">
      <c r="A30" s="1"/>
      <c r="B30" s="126"/>
      <c r="C30" s="16"/>
      <c r="D30" s="18"/>
      <c r="E30" s="1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.2" x14ac:dyDescent="0.25">
      <c r="A31" s="1"/>
      <c r="B31" s="126"/>
      <c r="C31" s="16"/>
      <c r="D31" s="18"/>
      <c r="E31" s="1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.2" x14ac:dyDescent="0.25">
      <c r="A32" s="1"/>
      <c r="B32" s="126"/>
      <c r="C32" s="16"/>
      <c r="D32" s="18"/>
      <c r="E32" s="1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1"/>
      <c r="B33" s="126"/>
      <c r="C33" s="16"/>
      <c r="D33" s="18"/>
      <c r="E33" s="1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 x14ac:dyDescent="0.25">
      <c r="A34" s="1"/>
      <c r="B34" s="126"/>
      <c r="C34" s="16"/>
      <c r="D34" s="18"/>
      <c r="E34" s="1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 x14ac:dyDescent="0.25">
      <c r="A35" s="1"/>
      <c r="B35" s="126"/>
      <c r="C35" s="16"/>
      <c r="D35" s="18"/>
      <c r="E35" s="1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 x14ac:dyDescent="0.25">
      <c r="A36" s="1"/>
      <c r="B36" s="126"/>
      <c r="C36" s="16"/>
      <c r="D36" s="18"/>
      <c r="E36" s="1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 x14ac:dyDescent="0.25">
      <c r="A37" s="1"/>
      <c r="B37" s="126"/>
      <c r="C37" s="16"/>
      <c r="D37" s="18"/>
      <c r="E37" s="1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26"/>
      <c r="C38" s="16"/>
      <c r="D38" s="18"/>
      <c r="E38" s="1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1"/>
      <c r="B39" s="126"/>
      <c r="C39" s="16"/>
      <c r="D39" s="18"/>
      <c r="E39" s="1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26"/>
      <c r="C40" s="16"/>
      <c r="D40" s="18"/>
      <c r="E40" s="1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26"/>
      <c r="C41" s="16"/>
      <c r="D41" s="18"/>
      <c r="E41" s="1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26"/>
      <c r="C42" s="16"/>
      <c r="D42" s="18"/>
      <c r="E42" s="1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26"/>
      <c r="C43" s="16"/>
      <c r="D43" s="18"/>
      <c r="E43" s="1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26"/>
      <c r="C44" s="16"/>
      <c r="D44" s="18"/>
      <c r="E44" s="1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26"/>
      <c r="C45" s="16"/>
      <c r="D45" s="18"/>
      <c r="E45" s="1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26"/>
      <c r="C46" s="16"/>
      <c r="D46" s="18"/>
      <c r="E46" s="1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26"/>
      <c r="C47" s="16"/>
      <c r="D47" s="18"/>
      <c r="E47" s="1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26"/>
      <c r="C48" s="16"/>
      <c r="D48" s="18"/>
      <c r="E48" s="1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26"/>
      <c r="C49" s="16"/>
      <c r="D49" s="18"/>
      <c r="E49" s="1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26"/>
      <c r="C50" s="16"/>
      <c r="D50" s="18"/>
      <c r="E50" s="1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26"/>
      <c r="C51" s="16"/>
      <c r="D51" s="18"/>
      <c r="E51" s="1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26"/>
      <c r="C52" s="16"/>
      <c r="D52" s="18"/>
      <c r="E52" s="1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26"/>
      <c r="C53" s="16"/>
      <c r="D53" s="18"/>
      <c r="E53" s="1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26"/>
      <c r="C54" s="16"/>
      <c r="D54" s="18"/>
      <c r="E54" s="1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26"/>
      <c r="C55" s="16"/>
      <c r="D55" s="18"/>
      <c r="E55" s="1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26"/>
      <c r="C56" s="16"/>
      <c r="D56" s="18"/>
      <c r="E56" s="1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26"/>
      <c r="C57" s="16"/>
      <c r="D57" s="18"/>
      <c r="E57" s="1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26"/>
      <c r="C58" s="16"/>
      <c r="D58" s="18"/>
      <c r="E58" s="1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26"/>
      <c r="C59" s="16"/>
      <c r="D59" s="18"/>
      <c r="E59" s="1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26"/>
      <c r="C60" s="16"/>
      <c r="D60" s="18"/>
      <c r="E60" s="1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26"/>
      <c r="C61" s="16"/>
      <c r="D61" s="18"/>
      <c r="E61" s="1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26"/>
      <c r="C62" s="16"/>
      <c r="D62" s="18"/>
      <c r="E62" s="1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26"/>
      <c r="C63" s="16"/>
      <c r="D63" s="18"/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26"/>
      <c r="C64" s="16"/>
      <c r="D64" s="18"/>
      <c r="E64" s="1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26"/>
      <c r="C65" s="16"/>
      <c r="D65" s="18"/>
      <c r="E65" s="1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26"/>
      <c r="C66" s="16"/>
      <c r="D66" s="18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26"/>
      <c r="C67" s="16"/>
      <c r="D67" s="18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26"/>
      <c r="C68" s="16"/>
      <c r="D68" s="18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26"/>
      <c r="C69" s="16"/>
      <c r="D69" s="18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26"/>
      <c r="C70" s="16"/>
      <c r="D70" s="18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26"/>
      <c r="C71" s="16"/>
      <c r="D71" s="18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26"/>
      <c r="C72" s="16"/>
      <c r="D72" s="18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26"/>
      <c r="C73" s="16"/>
      <c r="D73" s="18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26"/>
      <c r="C74" s="16"/>
      <c r="D74" s="18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26"/>
      <c r="C75" s="16"/>
      <c r="D75" s="18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26"/>
      <c r="C76" s="16"/>
      <c r="D76" s="18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26"/>
      <c r="C77" s="16"/>
      <c r="D77" s="18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26"/>
      <c r="C78" s="16"/>
      <c r="D78" s="18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26"/>
      <c r="C79" s="16"/>
      <c r="D79" s="18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26"/>
      <c r="C80" s="16"/>
      <c r="D80" s="18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26"/>
      <c r="C81" s="16"/>
      <c r="D81" s="18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26"/>
      <c r="C82" s="16"/>
      <c r="D82" s="18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26"/>
      <c r="C83" s="16"/>
      <c r="D83" s="18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26"/>
      <c r="C84" s="16"/>
      <c r="D84" s="18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26"/>
      <c r="C85" s="16"/>
      <c r="D85" s="18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26"/>
      <c r="C86" s="16"/>
      <c r="D86" s="18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26"/>
      <c r="C87" s="16"/>
      <c r="D87" s="18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26"/>
      <c r="C88" s="16"/>
      <c r="D88" s="18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26"/>
      <c r="C89" s="16"/>
      <c r="D89" s="18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26"/>
      <c r="C90" s="16"/>
      <c r="D90" s="18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26"/>
      <c r="C91" s="16"/>
      <c r="D91" s="18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26"/>
      <c r="C92" s="16"/>
      <c r="D92" s="18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26"/>
      <c r="C93" s="16"/>
      <c r="D93" s="18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26"/>
      <c r="C94" s="16"/>
      <c r="D94" s="18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26"/>
      <c r="C95" s="16"/>
      <c r="D95" s="18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26"/>
      <c r="C96" s="16"/>
      <c r="D96" s="18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26"/>
      <c r="C97" s="16"/>
      <c r="D97" s="18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26"/>
      <c r="C98" s="16"/>
      <c r="D98" s="18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26"/>
      <c r="C99" s="16"/>
      <c r="D99" s="18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26"/>
      <c r="C100" s="16"/>
      <c r="D100" s="18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26"/>
      <c r="C101" s="16"/>
      <c r="D101" s="18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26"/>
      <c r="C102" s="16"/>
      <c r="D102" s="18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26"/>
      <c r="C103" s="16"/>
      <c r="D103" s="18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26"/>
      <c r="C104" s="16"/>
      <c r="D104" s="18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26"/>
      <c r="C105" s="16"/>
      <c r="D105" s="18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26"/>
      <c r="C106" s="16"/>
      <c r="D106" s="18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26"/>
      <c r="C107" s="16"/>
      <c r="D107" s="18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26"/>
      <c r="C108" s="16"/>
      <c r="D108" s="18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26"/>
      <c r="C109" s="16"/>
      <c r="D109" s="18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26"/>
      <c r="C110" s="16"/>
      <c r="D110" s="18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26"/>
      <c r="C111" s="16"/>
      <c r="D111" s="18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26"/>
      <c r="C112" s="16"/>
      <c r="D112" s="18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26"/>
      <c r="C113" s="16"/>
      <c r="D113" s="18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26"/>
      <c r="C114" s="16"/>
      <c r="D114" s="18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26"/>
      <c r="C115" s="16"/>
      <c r="D115" s="18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26"/>
      <c r="C116" s="16"/>
      <c r="D116" s="18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26"/>
      <c r="C117" s="16"/>
      <c r="D117" s="18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26"/>
      <c r="C118" s="16"/>
      <c r="D118" s="18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26"/>
      <c r="C119" s="16"/>
      <c r="D119" s="18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26"/>
      <c r="C120" s="16"/>
      <c r="D120" s="18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26"/>
      <c r="C121" s="16"/>
      <c r="D121" s="18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26"/>
      <c r="C122" s="16"/>
      <c r="D122" s="18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26"/>
      <c r="C123" s="16"/>
      <c r="D123" s="18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26"/>
      <c r="C124" s="16"/>
      <c r="D124" s="18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26"/>
      <c r="C125" s="16"/>
      <c r="D125" s="18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26"/>
      <c r="C126" s="16"/>
      <c r="D126" s="18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26"/>
      <c r="C127" s="16"/>
      <c r="D127" s="18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26"/>
      <c r="C128" s="16"/>
      <c r="D128" s="18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26"/>
      <c r="C129" s="16"/>
      <c r="D129" s="18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26"/>
      <c r="C130" s="16"/>
      <c r="D130" s="18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26"/>
      <c r="C131" s="16"/>
      <c r="D131" s="18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26"/>
      <c r="C132" s="16"/>
      <c r="D132" s="18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26"/>
      <c r="C133" s="16"/>
      <c r="D133" s="18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26"/>
      <c r="C134" s="16"/>
      <c r="D134" s="18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26"/>
      <c r="C135" s="16"/>
      <c r="D135" s="18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26"/>
      <c r="C136" s="16"/>
      <c r="D136" s="18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26"/>
      <c r="C137" s="16"/>
      <c r="D137" s="18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26"/>
      <c r="C138" s="16"/>
      <c r="D138" s="18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26"/>
      <c r="C139" s="16"/>
      <c r="D139" s="18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26"/>
      <c r="C140" s="16"/>
      <c r="D140" s="18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26"/>
      <c r="C141" s="16"/>
      <c r="D141" s="18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26"/>
      <c r="C142" s="16"/>
      <c r="D142" s="18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26"/>
      <c r="C143" s="16"/>
      <c r="D143" s="18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26"/>
      <c r="C144" s="16"/>
      <c r="D144" s="18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26"/>
      <c r="C145" s="16"/>
      <c r="D145" s="18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26"/>
      <c r="C146" s="16"/>
      <c r="D146" s="18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26"/>
      <c r="C147" s="16"/>
      <c r="D147" s="18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26"/>
      <c r="C148" s="16"/>
      <c r="D148" s="18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26"/>
      <c r="C149" s="16"/>
      <c r="D149" s="18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26"/>
      <c r="C150" s="16"/>
      <c r="D150" s="18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26"/>
      <c r="C151" s="16"/>
      <c r="D151" s="18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26"/>
      <c r="C152" s="16"/>
      <c r="D152" s="18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26"/>
      <c r="C153" s="16"/>
      <c r="D153" s="18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26"/>
      <c r="C154" s="16"/>
      <c r="D154" s="18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26"/>
      <c r="C155" s="16"/>
      <c r="D155" s="18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26"/>
      <c r="C156" s="16"/>
      <c r="D156" s="18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26"/>
      <c r="C157" s="16"/>
      <c r="D157" s="18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26"/>
      <c r="C158" s="16"/>
      <c r="D158" s="18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26"/>
      <c r="C159" s="16"/>
      <c r="D159" s="18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26"/>
      <c r="C160" s="16"/>
      <c r="D160" s="18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26"/>
      <c r="C161" s="16"/>
      <c r="D161" s="18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26"/>
      <c r="C162" s="16"/>
      <c r="D162" s="18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26"/>
      <c r="C163" s="16"/>
      <c r="D163" s="18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26"/>
      <c r="C164" s="16"/>
      <c r="D164" s="18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26"/>
      <c r="C165" s="16"/>
      <c r="D165" s="18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26"/>
      <c r="C166" s="16"/>
      <c r="D166" s="18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26"/>
      <c r="C167" s="16"/>
      <c r="D167" s="18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26"/>
      <c r="C168" s="16"/>
      <c r="D168" s="18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26"/>
      <c r="C169" s="16"/>
      <c r="D169" s="18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26"/>
      <c r="C170" s="16"/>
      <c r="D170" s="18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26"/>
      <c r="C171" s="16"/>
      <c r="D171" s="18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26"/>
      <c r="C172" s="16"/>
      <c r="D172" s="18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26"/>
      <c r="C173" s="16"/>
      <c r="D173" s="18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26"/>
      <c r="C174" s="16"/>
      <c r="D174" s="18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26"/>
      <c r="C175" s="16"/>
      <c r="D175" s="18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26"/>
      <c r="C176" s="16"/>
      <c r="D176" s="18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26"/>
      <c r="C177" s="16"/>
      <c r="D177" s="18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26"/>
      <c r="C178" s="16"/>
      <c r="D178" s="18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26"/>
      <c r="C179" s="16"/>
      <c r="D179" s="18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26"/>
      <c r="C180" s="16"/>
      <c r="D180" s="18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26"/>
      <c r="C181" s="16"/>
      <c r="D181" s="18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26"/>
      <c r="C182" s="16"/>
      <c r="D182" s="18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26"/>
      <c r="C183" s="16"/>
      <c r="D183" s="18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26"/>
      <c r="C184" s="16"/>
      <c r="D184" s="18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26"/>
      <c r="C185" s="16"/>
      <c r="D185" s="18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26"/>
      <c r="C186" s="16"/>
      <c r="D186" s="18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26"/>
      <c r="C187" s="16"/>
      <c r="D187" s="18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26"/>
      <c r="C188" s="16"/>
      <c r="D188" s="18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26"/>
      <c r="C189" s="16"/>
      <c r="D189" s="18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26"/>
      <c r="C190" s="16"/>
      <c r="D190" s="18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26"/>
      <c r="C191" s="16"/>
      <c r="D191" s="18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26"/>
      <c r="C192" s="16"/>
      <c r="D192" s="18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26"/>
      <c r="C193" s="16"/>
      <c r="D193" s="18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26"/>
      <c r="C194" s="16"/>
      <c r="D194" s="18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26"/>
      <c r="C195" s="16"/>
      <c r="D195" s="18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26"/>
      <c r="C196" s="16"/>
      <c r="D196" s="18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26"/>
      <c r="C197" s="16"/>
      <c r="D197" s="18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26"/>
      <c r="C198" s="16"/>
      <c r="D198" s="18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26"/>
      <c r="C199" s="16"/>
      <c r="D199" s="18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26"/>
      <c r="C200" s="16"/>
      <c r="D200" s="18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26"/>
      <c r="C201" s="16"/>
      <c r="D201" s="18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26"/>
      <c r="C202" s="16"/>
      <c r="D202" s="18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26"/>
      <c r="C203" s="16"/>
      <c r="D203" s="18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26"/>
      <c r="C204" s="16"/>
      <c r="D204" s="18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26"/>
      <c r="C205" s="16"/>
      <c r="D205" s="18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26"/>
      <c r="C206" s="16"/>
      <c r="D206" s="18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26"/>
      <c r="C207" s="16"/>
      <c r="D207" s="18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26"/>
      <c r="C208" s="16"/>
      <c r="D208" s="18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26"/>
      <c r="C209" s="16"/>
      <c r="D209" s="18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26"/>
      <c r="C210" s="16"/>
      <c r="D210" s="18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26"/>
      <c r="C211" s="16"/>
      <c r="D211" s="18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26"/>
      <c r="C212" s="16"/>
      <c r="D212" s="18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26"/>
      <c r="C213" s="16"/>
      <c r="D213" s="18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26"/>
      <c r="C214" s="16"/>
      <c r="D214" s="18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26"/>
      <c r="C215" s="16"/>
      <c r="D215" s="18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26"/>
      <c r="C216" s="16"/>
      <c r="D216" s="18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26"/>
      <c r="C217" s="16"/>
      <c r="D217" s="18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26"/>
      <c r="C218" s="16"/>
      <c r="D218" s="18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26"/>
      <c r="C219" s="16"/>
      <c r="D219" s="18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26"/>
      <c r="C220" s="16"/>
      <c r="D220" s="18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26"/>
      <c r="C221" s="16"/>
      <c r="D221" s="18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26"/>
      <c r="C222" s="16"/>
      <c r="D222" s="18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26"/>
      <c r="C223" s="16"/>
      <c r="D223" s="18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26"/>
      <c r="C224" s="16"/>
      <c r="D224" s="18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26"/>
      <c r="C225" s="16"/>
      <c r="D225" s="18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26"/>
      <c r="C226" s="16"/>
      <c r="D226" s="18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26"/>
      <c r="C227" s="16"/>
      <c r="D227" s="18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26"/>
      <c r="C228" s="16"/>
      <c r="D228" s="18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26"/>
      <c r="C229" s="16"/>
      <c r="D229" s="18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26"/>
      <c r="C230" s="16"/>
      <c r="D230" s="18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26"/>
      <c r="C231" s="16"/>
      <c r="D231" s="18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26"/>
      <c r="C232" s="16"/>
      <c r="D232" s="18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26"/>
      <c r="C233" s="16"/>
      <c r="D233" s="18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26"/>
      <c r="C234" s="16"/>
      <c r="D234" s="18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26"/>
      <c r="C235" s="16"/>
      <c r="D235" s="18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26"/>
      <c r="C236" s="16"/>
      <c r="D236" s="18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26"/>
      <c r="C237" s="16"/>
      <c r="D237" s="18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26"/>
      <c r="C238" s="16"/>
      <c r="D238" s="18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26"/>
      <c r="C239" s="16"/>
      <c r="D239" s="18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26"/>
      <c r="C240" s="16"/>
      <c r="D240" s="18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26"/>
      <c r="C241" s="16"/>
      <c r="D241" s="18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26"/>
      <c r="C242" s="16"/>
      <c r="D242" s="18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26"/>
      <c r="C243" s="16"/>
      <c r="D243" s="18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26"/>
      <c r="C244" s="16"/>
      <c r="D244" s="18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26"/>
      <c r="C245" s="16"/>
      <c r="D245" s="18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26"/>
      <c r="C246" s="16"/>
      <c r="D246" s="18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26"/>
      <c r="C247" s="16"/>
      <c r="D247" s="18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26"/>
      <c r="C248" s="16"/>
      <c r="D248" s="18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26"/>
      <c r="C249" s="16"/>
      <c r="D249" s="18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26"/>
      <c r="C250" s="16"/>
      <c r="D250" s="18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26"/>
      <c r="C251" s="16"/>
      <c r="D251" s="18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26"/>
      <c r="C252" s="16"/>
      <c r="D252" s="18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26"/>
      <c r="C253" s="16"/>
      <c r="D253" s="18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26"/>
      <c r="C254" s="16"/>
      <c r="D254" s="18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26"/>
      <c r="C255" s="16"/>
      <c r="D255" s="18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26"/>
      <c r="C256" s="16"/>
      <c r="D256" s="18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26"/>
      <c r="C257" s="16"/>
      <c r="D257" s="18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26"/>
      <c r="C258" s="16"/>
      <c r="D258" s="18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26"/>
      <c r="C259" s="16"/>
      <c r="D259" s="18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26"/>
      <c r="C260" s="16"/>
      <c r="D260" s="18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26"/>
      <c r="C261" s="16"/>
      <c r="D261" s="18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26"/>
      <c r="C262" s="16"/>
      <c r="D262" s="18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26"/>
      <c r="C263" s="16"/>
      <c r="D263" s="18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26"/>
      <c r="C264" s="16"/>
      <c r="D264" s="18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26"/>
      <c r="C265" s="16"/>
      <c r="D265" s="18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26"/>
      <c r="C266" s="16"/>
      <c r="D266" s="18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26"/>
      <c r="C267" s="16"/>
      <c r="D267" s="18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26"/>
      <c r="C268" s="16"/>
      <c r="D268" s="18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26"/>
      <c r="C269" s="16"/>
      <c r="D269" s="18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26"/>
      <c r="C270" s="16"/>
      <c r="D270" s="18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26"/>
      <c r="C271" s="16"/>
      <c r="D271" s="18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26"/>
      <c r="C272" s="16"/>
      <c r="D272" s="18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26"/>
      <c r="C273" s="16"/>
      <c r="D273" s="18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26"/>
      <c r="C274" s="16"/>
      <c r="D274" s="18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26"/>
      <c r="C275" s="16"/>
      <c r="D275" s="18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26"/>
      <c r="C276" s="16"/>
      <c r="D276" s="18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26"/>
      <c r="C277" s="16"/>
      <c r="D277" s="18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26"/>
      <c r="C278" s="16"/>
      <c r="D278" s="18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26"/>
      <c r="C279" s="16"/>
      <c r="D279" s="18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26"/>
      <c r="C280" s="16"/>
      <c r="D280" s="18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26"/>
      <c r="C281" s="16"/>
      <c r="D281" s="18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26"/>
      <c r="C282" s="16"/>
      <c r="D282" s="18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26"/>
      <c r="C283" s="16"/>
      <c r="D283" s="18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26"/>
      <c r="C284" s="16"/>
      <c r="D284" s="18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26"/>
      <c r="C285" s="16"/>
      <c r="D285" s="18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26"/>
      <c r="C286" s="16"/>
      <c r="D286" s="18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26"/>
      <c r="C287" s="16"/>
      <c r="D287" s="18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26"/>
      <c r="C288" s="16"/>
      <c r="D288" s="18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26"/>
      <c r="C289" s="16"/>
      <c r="D289" s="18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26"/>
      <c r="C290" s="16"/>
      <c r="D290" s="18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26"/>
      <c r="C291" s="16"/>
      <c r="D291" s="18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26"/>
      <c r="C292" s="16"/>
      <c r="D292" s="18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26"/>
      <c r="C293" s="16"/>
      <c r="D293" s="18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26"/>
      <c r="C294" s="16"/>
      <c r="D294" s="18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26"/>
      <c r="C295" s="16"/>
      <c r="D295" s="18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26"/>
      <c r="C296" s="16"/>
      <c r="D296" s="18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26"/>
      <c r="C297" s="16"/>
      <c r="D297" s="18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26"/>
      <c r="C298" s="16"/>
      <c r="D298" s="18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26"/>
      <c r="C299" s="16"/>
      <c r="D299" s="18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26"/>
      <c r="C300" s="16"/>
      <c r="D300" s="18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26"/>
      <c r="C301" s="16"/>
      <c r="D301" s="18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26"/>
      <c r="C302" s="16"/>
      <c r="D302" s="18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26"/>
      <c r="C303" s="16"/>
      <c r="D303" s="18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26"/>
      <c r="C304" s="16"/>
      <c r="D304" s="18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26"/>
      <c r="C305" s="16"/>
      <c r="D305" s="18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26"/>
      <c r="C306" s="16"/>
      <c r="D306" s="18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26"/>
      <c r="C307" s="16"/>
      <c r="D307" s="18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26"/>
      <c r="C308" s="16"/>
      <c r="D308" s="18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26"/>
      <c r="C309" s="16"/>
      <c r="D309" s="18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26"/>
      <c r="C310" s="16"/>
      <c r="D310" s="18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26"/>
      <c r="C311" s="16"/>
      <c r="D311" s="18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26"/>
      <c r="C312" s="16"/>
      <c r="D312" s="18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26"/>
      <c r="C313" s="16"/>
      <c r="D313" s="18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26"/>
      <c r="C314" s="16"/>
      <c r="D314" s="18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26"/>
      <c r="C315" s="16"/>
      <c r="D315" s="18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26"/>
      <c r="C316" s="16"/>
      <c r="D316" s="18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26"/>
      <c r="C317" s="16"/>
      <c r="D317" s="18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26"/>
      <c r="C318" s="16"/>
      <c r="D318" s="18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26"/>
      <c r="C319" s="16"/>
      <c r="D319" s="18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26"/>
      <c r="C320" s="16"/>
      <c r="D320" s="18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26"/>
      <c r="C321" s="16"/>
      <c r="D321" s="18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26"/>
      <c r="C322" s="16"/>
      <c r="D322" s="18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26"/>
      <c r="C323" s="16"/>
      <c r="D323" s="18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26"/>
      <c r="C324" s="16"/>
      <c r="D324" s="18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26"/>
      <c r="C325" s="16"/>
      <c r="D325" s="18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26"/>
      <c r="C326" s="16"/>
      <c r="D326" s="18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26"/>
      <c r="C327" s="16"/>
      <c r="D327" s="18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26"/>
      <c r="C328" s="16"/>
      <c r="D328" s="18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26"/>
      <c r="C329" s="16"/>
      <c r="D329" s="18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26"/>
      <c r="C330" s="16"/>
      <c r="D330" s="18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26"/>
      <c r="C331" s="16"/>
      <c r="D331" s="18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26"/>
      <c r="C332" s="16"/>
      <c r="D332" s="18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26"/>
      <c r="C333" s="16"/>
      <c r="D333" s="18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26"/>
      <c r="C334" s="16"/>
      <c r="D334" s="18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26"/>
      <c r="C335" s="16"/>
      <c r="D335" s="18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26"/>
      <c r="C336" s="16"/>
      <c r="D336" s="18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26"/>
      <c r="C337" s="16"/>
      <c r="D337" s="18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26"/>
      <c r="C338" s="16"/>
      <c r="D338" s="18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26"/>
      <c r="C339" s="16"/>
      <c r="D339" s="18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26"/>
      <c r="C340" s="16"/>
      <c r="D340" s="18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26"/>
      <c r="C341" s="16"/>
      <c r="D341" s="18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26"/>
      <c r="C342" s="16"/>
      <c r="D342" s="18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26"/>
      <c r="C343" s="16"/>
      <c r="D343" s="18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26"/>
      <c r="C344" s="16"/>
      <c r="D344" s="18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26"/>
      <c r="C345" s="16"/>
      <c r="D345" s="18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26"/>
      <c r="C346" s="16"/>
      <c r="D346" s="18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26"/>
      <c r="C347" s="16"/>
      <c r="D347" s="18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26"/>
      <c r="C348" s="16"/>
      <c r="D348" s="18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26"/>
      <c r="C349" s="16"/>
      <c r="D349" s="18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26"/>
      <c r="C350" s="16"/>
      <c r="D350" s="18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26"/>
      <c r="C351" s="16"/>
      <c r="D351" s="18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26"/>
      <c r="C352" s="16"/>
      <c r="D352" s="18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26"/>
      <c r="C353" s="16"/>
      <c r="D353" s="18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26"/>
      <c r="C354" s="16"/>
      <c r="D354" s="18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26"/>
      <c r="C355" s="16"/>
      <c r="D355" s="18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26"/>
      <c r="C356" s="16"/>
      <c r="D356" s="18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26"/>
      <c r="C357" s="16"/>
      <c r="D357" s="18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26"/>
      <c r="C358" s="16"/>
      <c r="D358" s="18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26"/>
      <c r="C359" s="16"/>
      <c r="D359" s="18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26"/>
      <c r="C360" s="16"/>
      <c r="D360" s="18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26"/>
      <c r="C361" s="16"/>
      <c r="D361" s="18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26"/>
      <c r="C362" s="16"/>
      <c r="D362" s="18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26"/>
      <c r="C363" s="16"/>
      <c r="D363" s="18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26"/>
      <c r="C364" s="16"/>
      <c r="D364" s="18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26"/>
      <c r="C365" s="16"/>
      <c r="D365" s="18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26"/>
      <c r="C366" s="16"/>
      <c r="D366" s="18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26"/>
      <c r="C367" s="16"/>
      <c r="D367" s="18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26"/>
      <c r="C368" s="16"/>
      <c r="D368" s="18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26"/>
      <c r="C369" s="16"/>
      <c r="D369" s="18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26"/>
      <c r="C370" s="16"/>
      <c r="D370" s="18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26"/>
      <c r="C371" s="16"/>
      <c r="D371" s="18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26"/>
      <c r="C372" s="16"/>
      <c r="D372" s="18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26"/>
      <c r="C373" s="16"/>
      <c r="D373" s="18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26"/>
      <c r="C374" s="16"/>
      <c r="D374" s="18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26"/>
      <c r="C375" s="16"/>
      <c r="D375" s="18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26"/>
      <c r="C376" s="16"/>
      <c r="D376" s="18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26"/>
      <c r="C377" s="16"/>
      <c r="D377" s="18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26"/>
      <c r="C378" s="16"/>
      <c r="D378" s="18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26"/>
      <c r="C379" s="16"/>
      <c r="D379" s="18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26"/>
      <c r="C380" s="16"/>
      <c r="D380" s="18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26"/>
      <c r="C381" s="16"/>
      <c r="D381" s="18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26"/>
      <c r="C382" s="16"/>
      <c r="D382" s="18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26"/>
      <c r="C383" s="16"/>
      <c r="D383" s="18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26"/>
      <c r="C384" s="16"/>
      <c r="D384" s="18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26"/>
      <c r="C385" s="16"/>
      <c r="D385" s="18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26"/>
      <c r="C386" s="16"/>
      <c r="D386" s="18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26"/>
      <c r="C387" s="16"/>
      <c r="D387" s="18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26"/>
      <c r="C388" s="16"/>
      <c r="D388" s="18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26"/>
      <c r="C389" s="16"/>
      <c r="D389" s="18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26"/>
      <c r="C390" s="16"/>
      <c r="D390" s="18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26"/>
      <c r="C391" s="16"/>
      <c r="D391" s="18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26"/>
      <c r="C392" s="16"/>
      <c r="D392" s="18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26"/>
      <c r="C393" s="16"/>
      <c r="D393" s="18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26"/>
      <c r="C394" s="16"/>
      <c r="D394" s="18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26"/>
      <c r="C395" s="16"/>
      <c r="D395" s="18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26"/>
      <c r="C396" s="16"/>
      <c r="D396" s="18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26"/>
      <c r="C397" s="16"/>
      <c r="D397" s="18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26"/>
      <c r="C398" s="16"/>
      <c r="D398" s="18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26"/>
      <c r="C399" s="16"/>
      <c r="D399" s="18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26"/>
      <c r="C400" s="16"/>
      <c r="D400" s="18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26"/>
      <c r="C401" s="16"/>
      <c r="D401" s="18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26"/>
      <c r="C402" s="16"/>
      <c r="D402" s="18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26"/>
      <c r="C403" s="16"/>
      <c r="D403" s="18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26"/>
      <c r="C404" s="16"/>
      <c r="D404" s="18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26"/>
      <c r="C405" s="16"/>
      <c r="D405" s="18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26"/>
      <c r="C406" s="16"/>
      <c r="D406" s="18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26"/>
      <c r="C407" s="16"/>
      <c r="D407" s="18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26"/>
      <c r="C408" s="16"/>
      <c r="D408" s="18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26"/>
      <c r="C409" s="16"/>
      <c r="D409" s="18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26"/>
      <c r="C410" s="16"/>
      <c r="D410" s="18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26"/>
      <c r="C411" s="16"/>
      <c r="D411" s="18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26"/>
      <c r="C412" s="16"/>
      <c r="D412" s="18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26"/>
      <c r="C413" s="16"/>
      <c r="D413" s="18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26"/>
      <c r="C414" s="16"/>
      <c r="D414" s="18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26"/>
      <c r="C415" s="16"/>
      <c r="D415" s="18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26"/>
      <c r="C416" s="16"/>
      <c r="D416" s="18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26"/>
      <c r="C417" s="16"/>
      <c r="D417" s="18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26"/>
      <c r="C418" s="16"/>
      <c r="D418" s="18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26"/>
      <c r="C419" s="16"/>
      <c r="D419" s="18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26"/>
      <c r="C420" s="16"/>
      <c r="D420" s="18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26"/>
      <c r="C421" s="16"/>
      <c r="D421" s="18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26"/>
      <c r="C422" s="16"/>
      <c r="D422" s="18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26"/>
      <c r="C423" s="16"/>
      <c r="D423" s="18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26"/>
      <c r="C424" s="16"/>
      <c r="D424" s="18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26"/>
      <c r="C425" s="16"/>
      <c r="D425" s="18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26"/>
      <c r="C426" s="16"/>
      <c r="D426" s="18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26"/>
      <c r="C427" s="16"/>
      <c r="D427" s="18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26"/>
      <c r="C428" s="16"/>
      <c r="D428" s="18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26"/>
      <c r="C429" s="16"/>
      <c r="D429" s="18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26"/>
      <c r="C430" s="16"/>
      <c r="D430" s="18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26"/>
      <c r="C431" s="16"/>
      <c r="D431" s="18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26"/>
      <c r="C432" s="16"/>
      <c r="D432" s="18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26"/>
      <c r="C433" s="16"/>
      <c r="D433" s="18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26"/>
      <c r="C434" s="16"/>
      <c r="D434" s="18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26"/>
      <c r="C435" s="16"/>
      <c r="D435" s="18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26"/>
      <c r="C436" s="16"/>
      <c r="D436" s="18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26"/>
      <c r="C437" s="16"/>
      <c r="D437" s="18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26"/>
      <c r="C438" s="16"/>
      <c r="D438" s="18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26"/>
      <c r="C439" s="16"/>
      <c r="D439" s="18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26"/>
      <c r="C440" s="16"/>
      <c r="D440" s="18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26"/>
      <c r="C441" s="16"/>
      <c r="D441" s="18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26"/>
      <c r="C442" s="16"/>
      <c r="D442" s="18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26"/>
      <c r="C443" s="16"/>
      <c r="D443" s="18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26"/>
      <c r="C444" s="16"/>
      <c r="D444" s="18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26"/>
      <c r="C445" s="16"/>
      <c r="D445" s="18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26"/>
      <c r="C446" s="16"/>
      <c r="D446" s="18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26"/>
      <c r="C447" s="16"/>
      <c r="D447" s="18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26"/>
      <c r="C448" s="16"/>
      <c r="D448" s="18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26"/>
      <c r="C449" s="16"/>
      <c r="D449" s="18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26"/>
      <c r="C450" s="16"/>
      <c r="D450" s="18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26"/>
      <c r="C451" s="16"/>
      <c r="D451" s="18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26"/>
      <c r="C452" s="16"/>
      <c r="D452" s="18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26"/>
      <c r="C453" s="16"/>
      <c r="D453" s="18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26"/>
      <c r="C454" s="16"/>
      <c r="D454" s="18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26"/>
      <c r="C455" s="16"/>
      <c r="D455" s="18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26"/>
      <c r="C456" s="16"/>
      <c r="D456" s="18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26"/>
      <c r="C457" s="16"/>
      <c r="D457" s="18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26"/>
      <c r="C458" s="16"/>
      <c r="D458" s="18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26"/>
      <c r="C459" s="16"/>
      <c r="D459" s="18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26"/>
      <c r="C460" s="16"/>
      <c r="D460" s="18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26"/>
      <c r="C461" s="16"/>
      <c r="D461" s="18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26"/>
      <c r="C462" s="16"/>
      <c r="D462" s="18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26"/>
      <c r="C463" s="16"/>
      <c r="D463" s="18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26"/>
      <c r="C464" s="16"/>
      <c r="D464" s="18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26"/>
      <c r="C465" s="16"/>
      <c r="D465" s="18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26"/>
      <c r="C466" s="16"/>
      <c r="D466" s="18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26"/>
      <c r="C467" s="16"/>
      <c r="D467" s="18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26"/>
      <c r="C468" s="16"/>
      <c r="D468" s="18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26"/>
      <c r="C469" s="16"/>
      <c r="D469" s="18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26"/>
      <c r="C470" s="16"/>
      <c r="D470" s="18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26"/>
      <c r="C471" s="16"/>
      <c r="D471" s="18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26"/>
      <c r="C472" s="16"/>
      <c r="D472" s="18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26"/>
      <c r="C473" s="16"/>
      <c r="D473" s="18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26"/>
      <c r="C474" s="16"/>
      <c r="D474" s="18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26"/>
      <c r="C475" s="16"/>
      <c r="D475" s="18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26"/>
      <c r="C476" s="16"/>
      <c r="D476" s="18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26"/>
      <c r="C477" s="16"/>
      <c r="D477" s="18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26"/>
      <c r="C478" s="16"/>
      <c r="D478" s="18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26"/>
      <c r="C479" s="16"/>
      <c r="D479" s="18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26"/>
      <c r="C480" s="16"/>
      <c r="D480" s="18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26"/>
      <c r="C481" s="16"/>
      <c r="D481" s="18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26"/>
      <c r="C482" s="16"/>
      <c r="D482" s="18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26"/>
      <c r="C483" s="16"/>
      <c r="D483" s="18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26"/>
      <c r="C484" s="16"/>
      <c r="D484" s="18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26"/>
      <c r="C485" s="16"/>
      <c r="D485" s="18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26"/>
      <c r="C486" s="16"/>
      <c r="D486" s="18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26"/>
      <c r="C487" s="16"/>
      <c r="D487" s="18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26"/>
      <c r="C488" s="16"/>
      <c r="D488" s="18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26"/>
      <c r="C489" s="16"/>
      <c r="D489" s="18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26"/>
      <c r="C490" s="16"/>
      <c r="D490" s="18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26"/>
      <c r="C491" s="16"/>
      <c r="D491" s="18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26"/>
      <c r="C492" s="16"/>
      <c r="D492" s="18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26"/>
      <c r="C493" s="16"/>
      <c r="D493" s="18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26"/>
      <c r="C494" s="16"/>
      <c r="D494" s="18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26"/>
      <c r="C495" s="16"/>
      <c r="D495" s="18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26"/>
      <c r="C496" s="16"/>
      <c r="D496" s="18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26"/>
      <c r="C497" s="16"/>
      <c r="D497" s="18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26"/>
      <c r="C498" s="16"/>
      <c r="D498" s="18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26"/>
      <c r="C499" s="16"/>
      <c r="D499" s="18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26"/>
      <c r="C500" s="16"/>
      <c r="D500" s="18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26"/>
      <c r="C501" s="16"/>
      <c r="D501" s="18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26"/>
      <c r="C502" s="16"/>
      <c r="D502" s="18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26"/>
      <c r="C503" s="16"/>
      <c r="D503" s="18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26"/>
      <c r="C504" s="16"/>
      <c r="D504" s="18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26"/>
      <c r="C505" s="16"/>
      <c r="D505" s="18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26"/>
      <c r="C506" s="16"/>
      <c r="D506" s="18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26"/>
      <c r="C507" s="16"/>
      <c r="D507" s="18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26"/>
      <c r="C508" s="16"/>
      <c r="D508" s="18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26"/>
      <c r="C509" s="16"/>
      <c r="D509" s="18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26"/>
      <c r="C510" s="16"/>
      <c r="D510" s="18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26"/>
      <c r="C511" s="16"/>
      <c r="D511" s="18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26"/>
      <c r="C512" s="16"/>
      <c r="D512" s="18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26"/>
      <c r="C513" s="16"/>
      <c r="D513" s="18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26"/>
      <c r="C514" s="16"/>
      <c r="D514" s="18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26"/>
      <c r="C515" s="16"/>
      <c r="D515" s="18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26"/>
      <c r="C516" s="16"/>
      <c r="D516" s="18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26"/>
      <c r="C517" s="16"/>
      <c r="D517" s="18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26"/>
      <c r="C518" s="16"/>
      <c r="D518" s="18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26"/>
      <c r="C519" s="16"/>
      <c r="D519" s="18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26"/>
      <c r="C520" s="16"/>
      <c r="D520" s="18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26"/>
      <c r="C521" s="16"/>
      <c r="D521" s="18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26"/>
      <c r="C522" s="16"/>
      <c r="D522" s="18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26"/>
      <c r="C523" s="16"/>
      <c r="D523" s="18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26"/>
      <c r="C524" s="16"/>
      <c r="D524" s="18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26"/>
      <c r="C525" s="16"/>
      <c r="D525" s="18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26"/>
      <c r="C526" s="16"/>
      <c r="D526" s="18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26"/>
      <c r="C527" s="16"/>
      <c r="D527" s="18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26"/>
      <c r="C528" s="16"/>
      <c r="D528" s="18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26"/>
      <c r="C529" s="16"/>
      <c r="D529" s="18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26"/>
      <c r="C530" s="16"/>
      <c r="D530" s="18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26"/>
      <c r="C531" s="16"/>
      <c r="D531" s="18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26"/>
      <c r="C532" s="16"/>
      <c r="D532" s="18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26"/>
      <c r="C533" s="16"/>
      <c r="D533" s="18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26"/>
      <c r="C534" s="16"/>
      <c r="D534" s="18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26"/>
      <c r="C535" s="16"/>
      <c r="D535" s="18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26"/>
      <c r="C536" s="16"/>
      <c r="D536" s="18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26"/>
      <c r="C537" s="16"/>
      <c r="D537" s="18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26"/>
      <c r="C538" s="16"/>
      <c r="D538" s="18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26"/>
      <c r="C539" s="16"/>
      <c r="D539" s="18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26"/>
      <c r="C540" s="16"/>
      <c r="D540" s="18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26"/>
      <c r="C541" s="16"/>
      <c r="D541" s="18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26"/>
      <c r="C542" s="16"/>
      <c r="D542" s="18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26"/>
      <c r="C543" s="16"/>
      <c r="D543" s="18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26"/>
      <c r="C544" s="16"/>
      <c r="D544" s="18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26"/>
      <c r="C545" s="16"/>
      <c r="D545" s="18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26"/>
      <c r="C546" s="16"/>
      <c r="D546" s="18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26"/>
      <c r="C547" s="16"/>
      <c r="D547" s="18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26"/>
      <c r="C548" s="16"/>
      <c r="D548" s="18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26"/>
      <c r="C549" s="16"/>
      <c r="D549" s="18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26"/>
      <c r="C550" s="16"/>
      <c r="D550" s="18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26"/>
      <c r="C551" s="16"/>
      <c r="D551" s="18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26"/>
      <c r="C552" s="16"/>
      <c r="D552" s="18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26"/>
      <c r="C553" s="16"/>
      <c r="D553" s="18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26"/>
      <c r="C554" s="16"/>
      <c r="D554" s="18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26"/>
      <c r="C555" s="16"/>
      <c r="D555" s="18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26"/>
      <c r="C556" s="16"/>
      <c r="D556" s="18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26"/>
      <c r="C557" s="16"/>
      <c r="D557" s="18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26"/>
      <c r="C558" s="16"/>
      <c r="D558" s="18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26"/>
      <c r="C559" s="16"/>
      <c r="D559" s="18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26"/>
      <c r="C560" s="16"/>
      <c r="D560" s="18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26"/>
      <c r="C561" s="16"/>
      <c r="D561" s="18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26"/>
      <c r="C562" s="16"/>
      <c r="D562" s="18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26"/>
      <c r="C563" s="16"/>
      <c r="D563" s="18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26"/>
      <c r="C564" s="16"/>
      <c r="D564" s="18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26"/>
      <c r="C565" s="16"/>
      <c r="D565" s="18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26"/>
      <c r="C566" s="16"/>
      <c r="D566" s="18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26"/>
      <c r="C567" s="16"/>
      <c r="D567" s="18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26"/>
      <c r="C568" s="16"/>
      <c r="D568" s="18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26"/>
      <c r="C569" s="16"/>
      <c r="D569" s="18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26"/>
      <c r="C570" s="16"/>
      <c r="D570" s="18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26"/>
      <c r="C571" s="16"/>
      <c r="D571" s="18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26"/>
      <c r="C572" s="16"/>
      <c r="D572" s="18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26"/>
      <c r="C573" s="16"/>
      <c r="D573" s="18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26"/>
      <c r="C574" s="16"/>
      <c r="D574" s="18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26"/>
      <c r="C575" s="16"/>
      <c r="D575" s="18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26"/>
      <c r="C576" s="16"/>
      <c r="D576" s="18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26"/>
      <c r="C577" s="16"/>
      <c r="D577" s="18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26"/>
      <c r="C578" s="16"/>
      <c r="D578" s="18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26"/>
      <c r="C579" s="16"/>
      <c r="D579" s="18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26"/>
      <c r="C580" s="16"/>
      <c r="D580" s="18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26"/>
      <c r="C581" s="16"/>
      <c r="D581" s="18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26"/>
      <c r="C582" s="16"/>
      <c r="D582" s="18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26"/>
      <c r="C583" s="16"/>
      <c r="D583" s="18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26"/>
      <c r="C584" s="16"/>
      <c r="D584" s="18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26"/>
      <c r="C585" s="16"/>
      <c r="D585" s="18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26"/>
      <c r="C586" s="16"/>
      <c r="D586" s="18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26"/>
      <c r="C587" s="16"/>
      <c r="D587" s="18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26"/>
      <c r="C588" s="16"/>
      <c r="D588" s="18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26"/>
      <c r="C589" s="16"/>
      <c r="D589" s="18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26"/>
      <c r="C590" s="16"/>
      <c r="D590" s="18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26"/>
      <c r="C591" s="16"/>
      <c r="D591" s="18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26"/>
      <c r="C592" s="16"/>
      <c r="D592" s="18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26"/>
      <c r="C593" s="16"/>
      <c r="D593" s="18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26"/>
      <c r="C594" s="16"/>
      <c r="D594" s="18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26"/>
      <c r="C595" s="16"/>
      <c r="D595" s="18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26"/>
      <c r="C596" s="16"/>
      <c r="D596" s="18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26"/>
      <c r="C597" s="16"/>
      <c r="D597" s="18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26"/>
      <c r="C598" s="16"/>
      <c r="D598" s="18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26"/>
      <c r="C599" s="16"/>
      <c r="D599" s="18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26"/>
      <c r="C600" s="16"/>
      <c r="D600" s="18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26"/>
      <c r="C601" s="16"/>
      <c r="D601" s="18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26"/>
      <c r="C602" s="16"/>
      <c r="D602" s="18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26"/>
      <c r="C603" s="16"/>
      <c r="D603" s="18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26"/>
      <c r="C604" s="16"/>
      <c r="D604" s="18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26"/>
      <c r="C605" s="16"/>
      <c r="D605" s="18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26"/>
      <c r="C606" s="16"/>
      <c r="D606" s="18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26"/>
      <c r="C607" s="16"/>
      <c r="D607" s="18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26"/>
      <c r="C608" s="16"/>
      <c r="D608" s="18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26"/>
      <c r="C609" s="16"/>
      <c r="D609" s="18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26"/>
      <c r="C610" s="16"/>
      <c r="D610" s="18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26"/>
      <c r="C611" s="16"/>
      <c r="D611" s="18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26"/>
      <c r="C612" s="16"/>
      <c r="D612" s="18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26"/>
      <c r="C613" s="16"/>
      <c r="D613" s="18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26"/>
      <c r="C614" s="16"/>
      <c r="D614" s="18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26"/>
      <c r="C615" s="16"/>
      <c r="D615" s="18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26"/>
      <c r="C616" s="16"/>
      <c r="D616" s="18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26"/>
      <c r="C617" s="16"/>
      <c r="D617" s="18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26"/>
      <c r="C618" s="16"/>
      <c r="D618" s="18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26"/>
      <c r="C619" s="16"/>
      <c r="D619" s="18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26"/>
      <c r="C620" s="16"/>
      <c r="D620" s="18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26"/>
      <c r="C621" s="16"/>
      <c r="D621" s="18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26"/>
      <c r="C622" s="16"/>
      <c r="D622" s="18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26"/>
      <c r="C623" s="16"/>
      <c r="D623" s="18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26"/>
      <c r="C624" s="16"/>
      <c r="D624" s="18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26"/>
      <c r="C625" s="16"/>
      <c r="D625" s="18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26"/>
      <c r="C626" s="16"/>
      <c r="D626" s="18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26"/>
      <c r="C627" s="16"/>
      <c r="D627" s="18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26"/>
      <c r="C628" s="16"/>
      <c r="D628" s="18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26"/>
      <c r="C629" s="16"/>
      <c r="D629" s="18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26"/>
      <c r="C630" s="16"/>
      <c r="D630" s="18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26"/>
      <c r="C631" s="16"/>
      <c r="D631" s="18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26"/>
      <c r="C632" s="16"/>
      <c r="D632" s="18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26"/>
      <c r="C633" s="16"/>
      <c r="D633" s="18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26"/>
      <c r="C634" s="16"/>
      <c r="D634" s="18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26"/>
      <c r="C635" s="16"/>
      <c r="D635" s="18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26"/>
      <c r="C636" s="16"/>
      <c r="D636" s="18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26"/>
      <c r="C637" s="16"/>
      <c r="D637" s="18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26"/>
      <c r="C638" s="16"/>
      <c r="D638" s="18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26"/>
      <c r="C639" s="16"/>
      <c r="D639" s="18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26"/>
      <c r="C640" s="16"/>
      <c r="D640" s="18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26"/>
      <c r="C641" s="16"/>
      <c r="D641" s="18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26"/>
      <c r="C642" s="16"/>
      <c r="D642" s="18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26"/>
      <c r="C643" s="16"/>
      <c r="D643" s="18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26"/>
      <c r="C644" s="16"/>
      <c r="D644" s="18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26"/>
      <c r="C645" s="16"/>
      <c r="D645" s="18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26"/>
      <c r="C646" s="16"/>
      <c r="D646" s="18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26"/>
      <c r="C647" s="16"/>
      <c r="D647" s="18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26"/>
      <c r="C648" s="16"/>
      <c r="D648" s="18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26"/>
      <c r="C649" s="16"/>
      <c r="D649" s="18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26"/>
      <c r="C650" s="16"/>
      <c r="D650" s="18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26"/>
      <c r="C651" s="16"/>
      <c r="D651" s="18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26"/>
      <c r="C652" s="16"/>
      <c r="D652" s="18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26"/>
      <c r="C653" s="16"/>
      <c r="D653" s="18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26"/>
      <c r="C654" s="16"/>
      <c r="D654" s="18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26"/>
      <c r="C655" s="16"/>
      <c r="D655" s="18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26"/>
      <c r="C656" s="16"/>
      <c r="D656" s="18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26"/>
      <c r="C657" s="16"/>
      <c r="D657" s="18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26"/>
      <c r="C658" s="16"/>
      <c r="D658" s="18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26"/>
      <c r="C659" s="16"/>
      <c r="D659" s="18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26"/>
      <c r="C660" s="16"/>
      <c r="D660" s="18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26"/>
      <c r="C661" s="16"/>
      <c r="D661" s="18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26"/>
      <c r="C662" s="16"/>
      <c r="D662" s="18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26"/>
      <c r="C663" s="16"/>
      <c r="D663" s="18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26"/>
      <c r="C664" s="16"/>
      <c r="D664" s="18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26"/>
      <c r="C665" s="16"/>
      <c r="D665" s="18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26"/>
      <c r="C666" s="16"/>
      <c r="D666" s="18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26"/>
      <c r="C667" s="16"/>
      <c r="D667" s="18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26"/>
      <c r="C668" s="16"/>
      <c r="D668" s="18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26"/>
      <c r="C669" s="16"/>
      <c r="D669" s="18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26"/>
      <c r="C670" s="16"/>
      <c r="D670" s="18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26"/>
      <c r="C671" s="16"/>
      <c r="D671" s="18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26"/>
      <c r="C672" s="16"/>
      <c r="D672" s="18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26"/>
      <c r="C673" s="16"/>
      <c r="D673" s="18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26"/>
      <c r="C674" s="16"/>
      <c r="D674" s="18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26"/>
      <c r="C675" s="16"/>
      <c r="D675" s="18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26"/>
      <c r="C676" s="16"/>
      <c r="D676" s="18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26"/>
      <c r="C677" s="16"/>
      <c r="D677" s="18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26"/>
      <c r="C678" s="16"/>
      <c r="D678" s="18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26"/>
      <c r="C679" s="16"/>
      <c r="D679" s="18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26"/>
      <c r="C680" s="16"/>
      <c r="D680" s="18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26"/>
      <c r="C681" s="16"/>
      <c r="D681" s="18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26"/>
      <c r="C682" s="16"/>
      <c r="D682" s="18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26"/>
      <c r="C683" s="16"/>
      <c r="D683" s="18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26"/>
      <c r="C684" s="16"/>
      <c r="D684" s="18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26"/>
      <c r="C685" s="16"/>
      <c r="D685" s="18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26"/>
      <c r="C686" s="16"/>
      <c r="D686" s="18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26"/>
      <c r="C687" s="16"/>
      <c r="D687" s="18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26"/>
      <c r="C688" s="16"/>
      <c r="D688" s="18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26"/>
      <c r="C689" s="16"/>
      <c r="D689" s="18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26"/>
      <c r="C690" s="16"/>
      <c r="D690" s="18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26"/>
      <c r="C691" s="16"/>
      <c r="D691" s="18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26"/>
      <c r="C692" s="16"/>
      <c r="D692" s="18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26"/>
      <c r="C693" s="16"/>
      <c r="D693" s="18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26"/>
      <c r="C694" s="16"/>
      <c r="D694" s="18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26"/>
      <c r="C695" s="16"/>
      <c r="D695" s="18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26"/>
      <c r="C696" s="16"/>
      <c r="D696" s="18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26"/>
      <c r="C697" s="16"/>
      <c r="D697" s="18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26"/>
      <c r="C698" s="16"/>
      <c r="D698" s="18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26"/>
      <c r="C699" s="16"/>
      <c r="D699" s="18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26"/>
      <c r="C700" s="16"/>
      <c r="D700" s="18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26"/>
      <c r="C701" s="16"/>
      <c r="D701" s="18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26"/>
      <c r="C702" s="16"/>
      <c r="D702" s="18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26"/>
      <c r="C703" s="16"/>
      <c r="D703" s="18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26"/>
      <c r="C704" s="16"/>
      <c r="D704" s="18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26"/>
      <c r="C705" s="16"/>
      <c r="D705" s="18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26"/>
      <c r="C706" s="16"/>
      <c r="D706" s="18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26"/>
      <c r="C707" s="16"/>
      <c r="D707" s="18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26"/>
      <c r="C708" s="16"/>
      <c r="D708" s="18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26"/>
      <c r="C709" s="16"/>
      <c r="D709" s="18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26"/>
      <c r="C710" s="16"/>
      <c r="D710" s="18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26"/>
      <c r="C711" s="16"/>
      <c r="D711" s="18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26"/>
      <c r="C712" s="16"/>
      <c r="D712" s="18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26"/>
      <c r="C713" s="16"/>
      <c r="D713" s="18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26"/>
      <c r="C714" s="16"/>
      <c r="D714" s="18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26"/>
      <c r="C715" s="16"/>
      <c r="D715" s="18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26"/>
      <c r="C716" s="16"/>
      <c r="D716" s="18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26"/>
      <c r="C717" s="16"/>
      <c r="D717" s="18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26"/>
      <c r="C718" s="16"/>
      <c r="D718" s="18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26"/>
      <c r="C719" s="16"/>
      <c r="D719" s="18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26"/>
      <c r="C720" s="16"/>
      <c r="D720" s="18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26"/>
      <c r="C721" s="16"/>
      <c r="D721" s="18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26"/>
      <c r="C722" s="16"/>
      <c r="D722" s="18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26"/>
      <c r="C723" s="16"/>
      <c r="D723" s="18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26"/>
      <c r="C724" s="16"/>
      <c r="D724" s="18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26"/>
      <c r="C725" s="16"/>
      <c r="D725" s="18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26"/>
      <c r="C726" s="16"/>
      <c r="D726" s="18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26"/>
      <c r="C727" s="16"/>
      <c r="D727" s="18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26"/>
      <c r="C728" s="16"/>
      <c r="D728" s="18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26"/>
      <c r="C729" s="16"/>
      <c r="D729" s="18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26"/>
      <c r="C730" s="16"/>
      <c r="D730" s="18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26"/>
      <c r="C731" s="16"/>
      <c r="D731" s="18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26"/>
      <c r="C732" s="16"/>
      <c r="D732" s="18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26"/>
      <c r="C733" s="16"/>
      <c r="D733" s="18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26"/>
      <c r="C734" s="16"/>
      <c r="D734" s="18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26"/>
      <c r="C735" s="16"/>
      <c r="D735" s="18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26"/>
      <c r="C736" s="16"/>
      <c r="D736" s="18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26"/>
      <c r="C737" s="16"/>
      <c r="D737" s="18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26"/>
      <c r="C738" s="16"/>
      <c r="D738" s="18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26"/>
      <c r="C739" s="16"/>
      <c r="D739" s="18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26"/>
      <c r="C740" s="16"/>
      <c r="D740" s="18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26"/>
      <c r="C741" s="16"/>
      <c r="D741" s="18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26"/>
      <c r="C742" s="16"/>
      <c r="D742" s="18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26"/>
      <c r="C743" s="16"/>
      <c r="D743" s="18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26"/>
      <c r="C744" s="16"/>
      <c r="D744" s="18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26"/>
      <c r="C745" s="16"/>
      <c r="D745" s="18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26"/>
      <c r="C746" s="16"/>
      <c r="D746" s="18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26"/>
      <c r="C747" s="16"/>
      <c r="D747" s="18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26"/>
      <c r="C748" s="16"/>
      <c r="D748" s="18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26"/>
      <c r="C749" s="16"/>
      <c r="D749" s="18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26"/>
      <c r="C750" s="16"/>
      <c r="D750" s="18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26"/>
      <c r="C751" s="16"/>
      <c r="D751" s="18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26"/>
      <c r="C752" s="16"/>
      <c r="D752" s="18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26"/>
      <c r="C753" s="16"/>
      <c r="D753" s="18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26"/>
      <c r="C754" s="16"/>
      <c r="D754" s="18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26"/>
      <c r="C755" s="16"/>
      <c r="D755" s="18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26"/>
      <c r="C756" s="16"/>
      <c r="D756" s="18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26"/>
      <c r="C757" s="16"/>
      <c r="D757" s="18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26"/>
      <c r="C758" s="16"/>
      <c r="D758" s="18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26"/>
      <c r="C759" s="16"/>
      <c r="D759" s="18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26"/>
      <c r="C760" s="16"/>
      <c r="D760" s="18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26"/>
      <c r="C761" s="16"/>
      <c r="D761" s="18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26"/>
      <c r="C762" s="16"/>
      <c r="D762" s="18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26"/>
      <c r="C763" s="16"/>
      <c r="D763" s="18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26"/>
      <c r="C764" s="16"/>
      <c r="D764" s="18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26"/>
      <c r="C765" s="16"/>
      <c r="D765" s="18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26"/>
      <c r="C766" s="16"/>
      <c r="D766" s="18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26"/>
      <c r="C767" s="16"/>
      <c r="D767" s="18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26"/>
      <c r="C768" s="16"/>
      <c r="D768" s="18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26"/>
      <c r="C769" s="16"/>
      <c r="D769" s="18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26"/>
      <c r="C770" s="16"/>
      <c r="D770" s="18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26"/>
      <c r="C771" s="16"/>
      <c r="D771" s="18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26"/>
      <c r="C772" s="16"/>
      <c r="D772" s="18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26"/>
      <c r="C773" s="16"/>
      <c r="D773" s="18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26"/>
      <c r="C774" s="16"/>
      <c r="D774" s="18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26"/>
      <c r="C775" s="16"/>
      <c r="D775" s="18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26"/>
      <c r="C776" s="16"/>
      <c r="D776" s="18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26"/>
      <c r="C777" s="16"/>
      <c r="D777" s="18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26"/>
      <c r="C778" s="16"/>
      <c r="D778" s="18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26"/>
      <c r="C779" s="16"/>
      <c r="D779" s="18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26"/>
      <c r="C780" s="16"/>
      <c r="D780" s="18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26"/>
      <c r="C781" s="16"/>
      <c r="D781" s="18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26"/>
      <c r="C782" s="16"/>
      <c r="D782" s="18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26"/>
      <c r="C783" s="16"/>
      <c r="D783" s="18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26"/>
      <c r="C784" s="16"/>
      <c r="D784" s="18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26"/>
      <c r="C785" s="16"/>
      <c r="D785" s="18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26"/>
      <c r="C786" s="16"/>
      <c r="D786" s="18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26"/>
      <c r="C787" s="16"/>
      <c r="D787" s="18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26"/>
      <c r="C788" s="16"/>
      <c r="D788" s="18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26"/>
      <c r="C789" s="16"/>
      <c r="D789" s="18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26"/>
      <c r="C790" s="16"/>
      <c r="D790" s="18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26"/>
      <c r="C791" s="16"/>
      <c r="D791" s="18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26"/>
      <c r="C792" s="16"/>
      <c r="D792" s="18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26"/>
      <c r="C793" s="16"/>
      <c r="D793" s="18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26"/>
      <c r="C794" s="16"/>
      <c r="D794" s="18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26"/>
      <c r="C795" s="16"/>
      <c r="D795" s="18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26"/>
      <c r="C796" s="16"/>
      <c r="D796" s="18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26"/>
      <c r="C797" s="16"/>
      <c r="D797" s="18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26"/>
      <c r="C798" s="16"/>
      <c r="D798" s="18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26"/>
      <c r="C799" s="16"/>
      <c r="D799" s="18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26"/>
      <c r="C800" s="16"/>
      <c r="D800" s="18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26"/>
      <c r="C801" s="16"/>
      <c r="D801" s="18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26"/>
      <c r="C802" s="16"/>
      <c r="D802" s="18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26"/>
      <c r="C803" s="16"/>
      <c r="D803" s="18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26"/>
      <c r="C804" s="16"/>
      <c r="D804" s="18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26"/>
      <c r="C805" s="16"/>
      <c r="D805" s="18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26"/>
      <c r="C806" s="16"/>
      <c r="D806" s="18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26"/>
      <c r="C807" s="16"/>
      <c r="D807" s="18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26"/>
      <c r="C808" s="16"/>
      <c r="D808" s="18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26"/>
      <c r="C809" s="16"/>
      <c r="D809" s="18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26"/>
      <c r="C810" s="16"/>
      <c r="D810" s="18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26"/>
      <c r="C811" s="16"/>
      <c r="D811" s="18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26"/>
      <c r="C812" s="16"/>
      <c r="D812" s="18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26"/>
      <c r="C813" s="16"/>
      <c r="D813" s="18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26"/>
      <c r="C814" s="16"/>
      <c r="D814" s="18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26"/>
      <c r="C815" s="16"/>
      <c r="D815" s="18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26"/>
      <c r="C816" s="16"/>
      <c r="D816" s="18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26"/>
      <c r="C817" s="16"/>
      <c r="D817" s="18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26"/>
      <c r="C818" s="16"/>
      <c r="D818" s="18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26"/>
      <c r="C819" s="16"/>
      <c r="D819" s="18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26"/>
      <c r="C820" s="16"/>
      <c r="D820" s="18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26"/>
      <c r="C821" s="16"/>
      <c r="D821" s="18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26"/>
      <c r="C822" s="16"/>
      <c r="D822" s="18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26"/>
      <c r="C823" s="16"/>
      <c r="D823" s="18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26"/>
      <c r="C824" s="16"/>
      <c r="D824" s="18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26"/>
      <c r="C825" s="16"/>
      <c r="D825" s="18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26"/>
      <c r="C826" s="16"/>
      <c r="D826" s="18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26"/>
      <c r="C827" s="16"/>
      <c r="D827" s="18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26"/>
      <c r="C828" s="16"/>
      <c r="D828" s="18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26"/>
      <c r="C829" s="16"/>
      <c r="D829" s="18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26"/>
      <c r="C830" s="16"/>
      <c r="D830" s="18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26"/>
      <c r="C831" s="16"/>
      <c r="D831" s="18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26"/>
      <c r="C832" s="16"/>
      <c r="D832" s="18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26"/>
      <c r="C833" s="16"/>
      <c r="D833" s="18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26"/>
      <c r="C834" s="16"/>
      <c r="D834" s="18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26"/>
      <c r="C835" s="16"/>
      <c r="D835" s="18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26"/>
      <c r="C836" s="16"/>
      <c r="D836" s="18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26"/>
      <c r="C837" s="16"/>
      <c r="D837" s="18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26"/>
      <c r="C838" s="16"/>
      <c r="D838" s="18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26"/>
      <c r="C839" s="16"/>
      <c r="D839" s="18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26"/>
      <c r="C840" s="16"/>
      <c r="D840" s="18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26"/>
      <c r="C841" s="16"/>
      <c r="D841" s="18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26"/>
      <c r="C842" s="16"/>
      <c r="D842" s="18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26"/>
      <c r="C843" s="16"/>
      <c r="D843" s="18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26"/>
      <c r="C844" s="16"/>
      <c r="D844" s="18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26"/>
      <c r="C845" s="16"/>
      <c r="D845" s="18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26"/>
      <c r="C846" s="16"/>
      <c r="D846" s="18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26"/>
      <c r="C847" s="16"/>
      <c r="D847" s="18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26"/>
      <c r="C848" s="16"/>
      <c r="D848" s="18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26"/>
      <c r="C849" s="16"/>
      <c r="D849" s="18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26"/>
      <c r="C850" s="16"/>
      <c r="D850" s="18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26"/>
      <c r="C851" s="16"/>
      <c r="D851" s="18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26"/>
      <c r="C852" s="16"/>
      <c r="D852" s="18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26"/>
      <c r="C853" s="16"/>
      <c r="D853" s="18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26"/>
      <c r="C854" s="16"/>
      <c r="D854" s="18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26"/>
      <c r="C855" s="16"/>
      <c r="D855" s="18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26"/>
      <c r="C856" s="16"/>
      <c r="D856" s="18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26"/>
      <c r="C857" s="16"/>
      <c r="D857" s="18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26"/>
      <c r="C858" s="16"/>
      <c r="D858" s="18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26"/>
      <c r="C859" s="16"/>
      <c r="D859" s="18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26"/>
      <c r="C860" s="16"/>
      <c r="D860" s="18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26"/>
      <c r="C861" s="16"/>
      <c r="D861" s="18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26"/>
      <c r="C862" s="16"/>
      <c r="D862" s="18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26"/>
      <c r="C863" s="16"/>
      <c r="D863" s="18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26"/>
      <c r="C864" s="16"/>
      <c r="D864" s="18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26"/>
      <c r="C865" s="16"/>
      <c r="D865" s="18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26"/>
      <c r="C866" s="16"/>
      <c r="D866" s="18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26"/>
      <c r="C867" s="16"/>
      <c r="D867" s="18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26"/>
      <c r="C868" s="16"/>
      <c r="D868" s="18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26"/>
      <c r="C869" s="16"/>
      <c r="D869" s="18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26"/>
      <c r="C870" s="16"/>
      <c r="D870" s="18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26"/>
      <c r="C871" s="16"/>
      <c r="D871" s="18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26"/>
      <c r="C872" s="16"/>
      <c r="D872" s="18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26"/>
      <c r="C873" s="16"/>
      <c r="D873" s="18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26"/>
      <c r="C874" s="16"/>
      <c r="D874" s="18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26"/>
      <c r="C875" s="16"/>
      <c r="D875" s="18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26"/>
      <c r="C876" s="16"/>
      <c r="D876" s="18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26"/>
      <c r="C877" s="16"/>
      <c r="D877" s="18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26"/>
      <c r="C878" s="16"/>
      <c r="D878" s="18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26"/>
      <c r="C879" s="16"/>
      <c r="D879" s="18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26"/>
      <c r="C880" s="16"/>
      <c r="D880" s="18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26"/>
      <c r="C881" s="16"/>
      <c r="D881" s="18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26"/>
      <c r="C882" s="16"/>
      <c r="D882" s="18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26"/>
      <c r="C883" s="16"/>
      <c r="D883" s="18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26"/>
      <c r="C884" s="16"/>
      <c r="D884" s="18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26"/>
      <c r="C885" s="16"/>
      <c r="D885" s="18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26"/>
      <c r="C886" s="16"/>
      <c r="D886" s="18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26"/>
      <c r="C887" s="16"/>
      <c r="D887" s="18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26"/>
      <c r="C888" s="16"/>
      <c r="D888" s="18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26"/>
      <c r="C889" s="16"/>
      <c r="D889" s="18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26"/>
      <c r="C890" s="16"/>
      <c r="D890" s="18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26"/>
      <c r="C891" s="16"/>
      <c r="D891" s="18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26"/>
      <c r="C892" s="16"/>
      <c r="D892" s="18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26"/>
      <c r="C893" s="16"/>
      <c r="D893" s="18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26"/>
      <c r="C894" s="16"/>
      <c r="D894" s="18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26"/>
      <c r="C895" s="16"/>
      <c r="D895" s="18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26"/>
      <c r="C896" s="16"/>
      <c r="D896" s="18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26"/>
      <c r="C897" s="16"/>
      <c r="D897" s="18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26"/>
      <c r="C898" s="16"/>
      <c r="D898" s="18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26"/>
      <c r="C899" s="16"/>
      <c r="D899" s="18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26"/>
      <c r="C900" s="16"/>
      <c r="D900" s="18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26"/>
      <c r="C901" s="16"/>
      <c r="D901" s="18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26"/>
      <c r="C902" s="16"/>
      <c r="D902" s="18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26"/>
      <c r="C903" s="16"/>
      <c r="D903" s="18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26"/>
      <c r="C904" s="16"/>
      <c r="D904" s="18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26"/>
      <c r="C905" s="16"/>
      <c r="D905" s="18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26"/>
      <c r="C906" s="16"/>
      <c r="D906" s="18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26"/>
      <c r="C907" s="16"/>
      <c r="D907" s="18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26"/>
      <c r="C908" s="16"/>
      <c r="D908" s="18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26"/>
      <c r="C909" s="16"/>
      <c r="D909" s="18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26"/>
      <c r="C910" s="16"/>
      <c r="D910" s="18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26"/>
      <c r="C911" s="16"/>
      <c r="D911" s="18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26"/>
      <c r="C912" s="16"/>
      <c r="D912" s="18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26"/>
      <c r="C913" s="16"/>
      <c r="D913" s="18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26"/>
      <c r="C914" s="16"/>
      <c r="D914" s="18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26"/>
      <c r="C915" s="16"/>
      <c r="D915" s="18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26"/>
      <c r="C916" s="16"/>
      <c r="D916" s="18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26"/>
      <c r="C917" s="16"/>
      <c r="D917" s="18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26"/>
      <c r="C918" s="16"/>
      <c r="D918" s="18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26"/>
      <c r="C919" s="16"/>
      <c r="D919" s="18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26"/>
      <c r="C920" s="16"/>
      <c r="D920" s="18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26"/>
      <c r="C921" s="16"/>
      <c r="D921" s="18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26"/>
      <c r="C922" s="16"/>
      <c r="D922" s="18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26"/>
      <c r="C923" s="16"/>
      <c r="D923" s="18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26"/>
      <c r="C924" s="16"/>
      <c r="D924" s="18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26"/>
      <c r="C925" s="16"/>
      <c r="D925" s="18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26"/>
      <c r="C926" s="16"/>
      <c r="D926" s="18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26"/>
      <c r="C927" s="16"/>
      <c r="D927" s="18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26"/>
      <c r="C928" s="16"/>
      <c r="D928" s="18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26"/>
      <c r="C929" s="16"/>
      <c r="D929" s="18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26"/>
      <c r="C930" s="16"/>
      <c r="D930" s="18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26"/>
      <c r="C931" s="16"/>
      <c r="D931" s="18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26"/>
      <c r="C932" s="16"/>
      <c r="D932" s="18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26"/>
      <c r="C933" s="16"/>
      <c r="D933" s="18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26"/>
      <c r="C934" s="16"/>
      <c r="D934" s="18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26"/>
      <c r="C935" s="16"/>
      <c r="D935" s="18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26"/>
      <c r="C936" s="16"/>
      <c r="D936" s="18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26"/>
      <c r="C937" s="16"/>
      <c r="D937" s="18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26"/>
      <c r="C938" s="16"/>
      <c r="D938" s="18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26"/>
      <c r="C939" s="16"/>
      <c r="D939" s="18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26"/>
      <c r="C940" s="16"/>
      <c r="D940" s="18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26"/>
      <c r="C941" s="16"/>
      <c r="D941" s="18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26"/>
      <c r="C942" s="16"/>
      <c r="D942" s="18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26"/>
      <c r="C943" s="16"/>
      <c r="D943" s="18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26"/>
      <c r="C944" s="16"/>
      <c r="D944" s="18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26"/>
      <c r="C945" s="16"/>
      <c r="D945" s="18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26"/>
      <c r="C946" s="16"/>
      <c r="D946" s="18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26"/>
      <c r="C947" s="16"/>
      <c r="D947" s="18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26"/>
      <c r="C948" s="16"/>
      <c r="D948" s="18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26"/>
      <c r="C949" s="16"/>
      <c r="D949" s="18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26"/>
      <c r="C950" s="16"/>
      <c r="D950" s="18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26"/>
      <c r="C951" s="16"/>
      <c r="D951" s="18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26"/>
      <c r="C952" s="16"/>
      <c r="D952" s="18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26"/>
      <c r="C953" s="16"/>
      <c r="D953" s="18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26"/>
      <c r="C954" s="16"/>
      <c r="D954" s="18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26"/>
      <c r="C955" s="16"/>
      <c r="D955" s="18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26"/>
      <c r="C956" s="16"/>
      <c r="D956" s="18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26"/>
      <c r="C957" s="16"/>
      <c r="D957" s="18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26"/>
      <c r="C958" s="16"/>
      <c r="D958" s="18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26"/>
      <c r="C959" s="16"/>
      <c r="D959" s="18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26"/>
      <c r="C960" s="16"/>
      <c r="D960" s="18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26"/>
      <c r="C961" s="16"/>
      <c r="D961" s="18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26"/>
      <c r="C962" s="16"/>
      <c r="D962" s="18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26"/>
      <c r="C963" s="16"/>
      <c r="D963" s="18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26"/>
      <c r="C964" s="16"/>
      <c r="D964" s="18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26"/>
      <c r="C965" s="16"/>
      <c r="D965" s="18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26"/>
      <c r="C966" s="16"/>
      <c r="D966" s="18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26"/>
      <c r="C967" s="16"/>
      <c r="D967" s="18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26"/>
      <c r="C968" s="16"/>
      <c r="D968" s="18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26"/>
      <c r="C969" s="16"/>
      <c r="D969" s="18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26"/>
      <c r="C970" s="16"/>
      <c r="D970" s="18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26"/>
      <c r="C971" s="16"/>
      <c r="D971" s="18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26"/>
      <c r="C972" s="16"/>
      <c r="D972" s="18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26"/>
      <c r="C973" s="16"/>
      <c r="D973" s="18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26"/>
      <c r="C974" s="16"/>
      <c r="D974" s="18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26"/>
      <c r="C975" s="16"/>
      <c r="D975" s="18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26"/>
      <c r="C976" s="16"/>
      <c r="D976" s="18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26"/>
      <c r="C977" s="16"/>
      <c r="D977" s="18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26"/>
      <c r="C978" s="16"/>
      <c r="D978" s="18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26"/>
      <c r="C979" s="16"/>
      <c r="D979" s="18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26"/>
      <c r="C980" s="16"/>
      <c r="D980" s="18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26"/>
      <c r="C981" s="16"/>
      <c r="D981" s="18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26"/>
      <c r="C982" s="16"/>
      <c r="D982" s="18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26"/>
      <c r="C983" s="16"/>
      <c r="D983" s="18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26"/>
      <c r="C984" s="16"/>
      <c r="D984" s="18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26"/>
      <c r="C985" s="16"/>
      <c r="D985" s="18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26"/>
      <c r="C986" s="16"/>
      <c r="D986" s="18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26"/>
      <c r="C987" s="16"/>
      <c r="D987" s="18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26"/>
      <c r="C988" s="16"/>
      <c r="D988" s="18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26"/>
      <c r="C989" s="16"/>
      <c r="D989" s="18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26"/>
      <c r="C990" s="16"/>
      <c r="D990" s="18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26"/>
      <c r="C991" s="16"/>
      <c r="D991" s="18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26"/>
      <c r="C992" s="16"/>
      <c r="D992" s="18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26"/>
      <c r="C993" s="16"/>
      <c r="D993" s="18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26"/>
      <c r="C994" s="16"/>
      <c r="D994" s="18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26"/>
      <c r="C995" s="16"/>
      <c r="D995" s="18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26"/>
      <c r="C996" s="16"/>
      <c r="D996" s="18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26"/>
      <c r="C997" s="16"/>
      <c r="D997" s="18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26"/>
      <c r="C998" s="16"/>
      <c r="D998" s="18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 x14ac:dyDescent="0.25">
      <c r="A999" s="1"/>
      <c r="B999" s="126"/>
      <c r="C999" s="16"/>
      <c r="D999" s="18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 x14ac:dyDescent="0.25">
      <c r="A1000" s="1"/>
      <c r="B1000" s="126"/>
      <c r="C1000" s="16"/>
      <c r="D1000" s="18"/>
      <c r="E1000" s="1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2" x14ac:dyDescent="0.25">
      <c r="A1001" s="1"/>
      <c r="B1001" s="126"/>
      <c r="C1001" s="16"/>
      <c r="D1001" s="18"/>
      <c r="E1001" s="1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">
    <mergeCell ref="C1:E1"/>
    <mergeCell ref="F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998"/>
  <sheetViews>
    <sheetView workbookViewId="0">
      <pane ySplit="2" topLeftCell="A3" activePane="bottomLeft" state="frozen"/>
      <selection pane="bottomLeft" activeCell="F11" sqref="F11"/>
    </sheetView>
  </sheetViews>
  <sheetFormatPr defaultColWidth="12.6640625" defaultRowHeight="15.75" customHeight="1" x14ac:dyDescent="0.25"/>
  <cols>
    <col min="1" max="1" width="2.6640625" customWidth="1"/>
    <col min="2" max="2" width="10.44140625" customWidth="1"/>
    <col min="4" max="4" width="14.88671875" customWidth="1"/>
    <col min="5" max="5" width="14.77734375" customWidth="1"/>
    <col min="7" max="7" width="13.33203125" customWidth="1"/>
  </cols>
  <sheetData>
    <row r="1" spans="1:23" ht="19.2" x14ac:dyDescent="0.25">
      <c r="A1" s="1"/>
      <c r="B1" s="126"/>
      <c r="C1" s="170" t="s">
        <v>0</v>
      </c>
      <c r="D1" s="181"/>
      <c r="E1" s="171"/>
      <c r="F1" s="170" t="s">
        <v>1</v>
      </c>
      <c r="G1" s="181"/>
      <c r="H1" s="1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5.25" customHeight="1" x14ac:dyDescent="0.25">
      <c r="A2" s="1"/>
      <c r="B2" s="3" t="s">
        <v>4</v>
      </c>
      <c r="C2" s="5" t="s">
        <v>5</v>
      </c>
      <c r="D2" s="6" t="s">
        <v>1925</v>
      </c>
      <c r="E2" s="6" t="s">
        <v>6</v>
      </c>
      <c r="F2" s="127" t="s">
        <v>5</v>
      </c>
      <c r="G2" s="128" t="s">
        <v>1925</v>
      </c>
      <c r="H2" s="8">
        <v>46235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2" x14ac:dyDescent="0.25">
      <c r="A3" s="1"/>
      <c r="B3" s="120" t="s">
        <v>2246</v>
      </c>
      <c r="C3" s="16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2" x14ac:dyDescent="0.25">
      <c r="A4" s="1"/>
      <c r="B4" s="81" t="s">
        <v>2247</v>
      </c>
      <c r="C4" s="16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25">
      <c r="A5" s="1"/>
      <c r="B5" s="21">
        <v>110</v>
      </c>
      <c r="C5" s="143" t="s">
        <v>2248</v>
      </c>
      <c r="D5" s="144">
        <f t="shared" ref="D5:D10" si="0">E5/6</f>
        <v>497.83333333333331</v>
      </c>
      <c r="E5" s="144">
        <v>2987</v>
      </c>
      <c r="F5" s="23" t="s">
        <v>13</v>
      </c>
      <c r="G5" s="145">
        <v>337</v>
      </c>
      <c r="H5" s="134">
        <v>2022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6" x14ac:dyDescent="0.25">
      <c r="A6" s="1"/>
      <c r="B6" s="21">
        <v>125</v>
      </c>
      <c r="C6" s="143" t="s">
        <v>2249</v>
      </c>
      <c r="D6" s="144">
        <f t="shared" si="0"/>
        <v>763.66666666666663</v>
      </c>
      <c r="E6" s="144">
        <v>4582</v>
      </c>
      <c r="F6" s="23" t="s">
        <v>24</v>
      </c>
      <c r="G6" s="144">
        <v>450</v>
      </c>
      <c r="H6" s="134">
        <v>2700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6" x14ac:dyDescent="0.25">
      <c r="A7" s="1"/>
      <c r="B7" s="21">
        <v>160</v>
      </c>
      <c r="C7" s="143" t="s">
        <v>2250</v>
      </c>
      <c r="D7" s="144">
        <f t="shared" si="0"/>
        <v>1053.6666666666667</v>
      </c>
      <c r="E7" s="144">
        <v>6322</v>
      </c>
      <c r="F7" s="23" t="s">
        <v>32</v>
      </c>
      <c r="G7" s="145">
        <v>718</v>
      </c>
      <c r="H7" s="134">
        <v>4308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6" x14ac:dyDescent="0.25">
      <c r="A8" s="1"/>
      <c r="B8" s="21">
        <v>200</v>
      </c>
      <c r="C8" s="143" t="s">
        <v>2251</v>
      </c>
      <c r="D8" s="144">
        <f t="shared" si="0"/>
        <v>1667.5</v>
      </c>
      <c r="E8" s="144">
        <v>10005</v>
      </c>
      <c r="F8" s="23" t="s">
        <v>41</v>
      </c>
      <c r="G8" s="145">
        <v>1120</v>
      </c>
      <c r="H8" s="134">
        <v>6720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6" x14ac:dyDescent="0.25">
      <c r="A9" s="1"/>
      <c r="B9" s="21">
        <v>250</v>
      </c>
      <c r="C9" s="143" t="s">
        <v>2252</v>
      </c>
      <c r="D9" s="144">
        <f t="shared" si="0"/>
        <v>2634.1666666666665</v>
      </c>
      <c r="E9" s="144">
        <v>15805</v>
      </c>
      <c r="F9" s="23" t="s">
        <v>48</v>
      </c>
      <c r="G9" s="145">
        <v>1734</v>
      </c>
      <c r="H9" s="134">
        <v>10404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6" x14ac:dyDescent="0.25">
      <c r="A10" s="1"/>
      <c r="B10" s="21">
        <v>315</v>
      </c>
      <c r="C10" s="143" t="s">
        <v>2253</v>
      </c>
      <c r="D10" s="144">
        <f t="shared" si="0"/>
        <v>4205</v>
      </c>
      <c r="E10" s="144">
        <v>25230</v>
      </c>
      <c r="F10" s="23" t="s">
        <v>51</v>
      </c>
      <c r="G10" s="145">
        <v>2745</v>
      </c>
      <c r="H10" s="134">
        <v>16470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6" x14ac:dyDescent="0.25">
      <c r="A11" s="1"/>
      <c r="B11" s="146"/>
      <c r="C11" s="147"/>
      <c r="D11" s="148"/>
      <c r="E11" s="33"/>
      <c r="F11" s="32"/>
      <c r="G11" s="32"/>
      <c r="H11" s="14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9.2" x14ac:dyDescent="0.25">
      <c r="A12" s="1"/>
      <c r="B12" s="81" t="s">
        <v>2254</v>
      </c>
      <c r="C12" s="147"/>
      <c r="D12" s="148"/>
      <c r="E12" s="33"/>
      <c r="F12" s="32"/>
      <c r="G12" s="32"/>
      <c r="H12" s="14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6" x14ac:dyDescent="0.25">
      <c r="A13" s="1"/>
      <c r="B13" s="21">
        <v>110</v>
      </c>
      <c r="C13" s="143" t="s">
        <v>2255</v>
      </c>
      <c r="D13" s="144">
        <f t="shared" ref="D13:D16" si="1">E13/6</f>
        <v>366</v>
      </c>
      <c r="E13" s="144">
        <v>2196</v>
      </c>
      <c r="F13" s="23" t="s">
        <v>56</v>
      </c>
      <c r="G13" s="144"/>
      <c r="H13" s="13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6" x14ac:dyDescent="0.25">
      <c r="A14" s="1"/>
      <c r="B14" s="21">
        <v>125</v>
      </c>
      <c r="C14" s="143" t="s">
        <v>2256</v>
      </c>
      <c r="D14" s="144">
        <f t="shared" si="1"/>
        <v>482.66666666666669</v>
      </c>
      <c r="E14" s="144">
        <v>2896</v>
      </c>
      <c r="F14" s="23" t="s">
        <v>61</v>
      </c>
      <c r="G14" s="144">
        <v>385</v>
      </c>
      <c r="H14" s="134">
        <v>2310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6" x14ac:dyDescent="0.25">
      <c r="A15" s="1"/>
      <c r="B15" s="21">
        <v>160</v>
      </c>
      <c r="C15" s="143" t="s">
        <v>2257</v>
      </c>
      <c r="D15" s="144">
        <f t="shared" si="1"/>
        <v>798.33333333333337</v>
      </c>
      <c r="E15" s="144">
        <v>4790</v>
      </c>
      <c r="F15" s="23" t="s">
        <v>66</v>
      </c>
      <c r="G15" s="145">
        <v>614</v>
      </c>
      <c r="H15" s="134">
        <v>3684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6" x14ac:dyDescent="0.25">
      <c r="A16" s="1"/>
      <c r="B16" s="21">
        <v>200</v>
      </c>
      <c r="C16" s="143" t="s">
        <v>2258</v>
      </c>
      <c r="D16" s="144">
        <f t="shared" si="1"/>
        <v>1228</v>
      </c>
      <c r="E16" s="144">
        <v>7368</v>
      </c>
      <c r="F16" s="23" t="s">
        <v>77</v>
      </c>
      <c r="G16" s="145">
        <v>938</v>
      </c>
      <c r="H16" s="134">
        <v>5628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6" x14ac:dyDescent="0.25">
      <c r="A17" s="1"/>
      <c r="B17" s="146"/>
      <c r="C17" s="147"/>
      <c r="D17" s="148"/>
      <c r="E17" s="33"/>
      <c r="F17" s="32"/>
      <c r="G17" s="32"/>
      <c r="H17" s="14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2" x14ac:dyDescent="0.25">
      <c r="A18" s="1"/>
      <c r="B18" s="129" t="s">
        <v>2259</v>
      </c>
      <c r="C18" s="147"/>
      <c r="D18" s="148"/>
      <c r="E18" s="33"/>
      <c r="F18" s="32"/>
      <c r="G18" s="32"/>
      <c r="H18" s="14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x14ac:dyDescent="0.25">
      <c r="A19" s="1"/>
      <c r="B19" s="21">
        <v>110</v>
      </c>
      <c r="C19" s="143" t="s">
        <v>2260</v>
      </c>
      <c r="D19" s="144">
        <f t="shared" ref="D19:D24" si="2">E19/6</f>
        <v>497.83333333333331</v>
      </c>
      <c r="E19" s="144">
        <v>2987</v>
      </c>
      <c r="F19" s="133"/>
      <c r="G19" s="145"/>
      <c r="H19" s="1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25">
      <c r="A20" s="1"/>
      <c r="B20" s="21">
        <v>125</v>
      </c>
      <c r="C20" s="143" t="s">
        <v>2261</v>
      </c>
      <c r="D20" s="144">
        <f t="shared" si="2"/>
        <v>763.66666666666663</v>
      </c>
      <c r="E20" s="144">
        <v>4582</v>
      </c>
      <c r="F20" s="133"/>
      <c r="G20" s="145"/>
      <c r="H20" s="13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6" x14ac:dyDescent="0.25">
      <c r="A21" s="1"/>
      <c r="B21" s="21">
        <v>160</v>
      </c>
      <c r="C21" s="143" t="s">
        <v>2262</v>
      </c>
      <c r="D21" s="144">
        <f t="shared" si="2"/>
        <v>1053.6666666666667</v>
      </c>
      <c r="E21" s="144">
        <v>6322</v>
      </c>
      <c r="F21" s="133"/>
      <c r="G21" s="145"/>
      <c r="H21" s="13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25">
      <c r="A22" s="1"/>
      <c r="B22" s="21">
        <v>200</v>
      </c>
      <c r="C22" s="143" t="s">
        <v>2263</v>
      </c>
      <c r="D22" s="144">
        <f t="shared" si="2"/>
        <v>1667.5</v>
      </c>
      <c r="E22" s="144">
        <v>10005</v>
      </c>
      <c r="F22" s="133"/>
      <c r="G22" s="145"/>
      <c r="H22" s="13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25">
      <c r="A23" s="1"/>
      <c r="B23" s="21">
        <v>250</v>
      </c>
      <c r="C23" s="143" t="s">
        <v>2264</v>
      </c>
      <c r="D23" s="144">
        <f t="shared" si="2"/>
        <v>2634.1666666666665</v>
      </c>
      <c r="E23" s="144">
        <v>15805</v>
      </c>
      <c r="F23" s="133"/>
      <c r="G23" s="145"/>
      <c r="H23" s="13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6" x14ac:dyDescent="0.25">
      <c r="A24" s="1"/>
      <c r="B24" s="21">
        <v>315</v>
      </c>
      <c r="C24" s="143" t="s">
        <v>2265</v>
      </c>
      <c r="D24" s="144">
        <f t="shared" si="2"/>
        <v>4205</v>
      </c>
      <c r="E24" s="144">
        <v>25230</v>
      </c>
      <c r="F24" s="133"/>
      <c r="G24" s="145"/>
      <c r="H24" s="13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.2" x14ac:dyDescent="0.25">
      <c r="A25" s="1"/>
      <c r="B25" s="1"/>
      <c r="C25" s="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2" x14ac:dyDescent="0.25">
      <c r="A26" s="1"/>
      <c r="B26" s="129" t="s">
        <v>2266</v>
      </c>
      <c r="C26" s="1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6" x14ac:dyDescent="0.25">
      <c r="A27" s="1"/>
      <c r="B27" s="21">
        <v>110</v>
      </c>
      <c r="C27" s="143" t="s">
        <v>2267</v>
      </c>
      <c r="D27" s="144">
        <f t="shared" ref="D27:D30" si="3">E27/6</f>
        <v>366</v>
      </c>
      <c r="E27" s="144">
        <v>2196</v>
      </c>
      <c r="F27" s="133"/>
      <c r="G27" s="144"/>
      <c r="H27" s="13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6" x14ac:dyDescent="0.25">
      <c r="A28" s="1"/>
      <c r="B28" s="21">
        <v>125</v>
      </c>
      <c r="C28" s="143" t="s">
        <v>2268</v>
      </c>
      <c r="D28" s="144">
        <f t="shared" si="3"/>
        <v>482.66666666666669</v>
      </c>
      <c r="E28" s="144">
        <v>2896</v>
      </c>
      <c r="F28" s="133"/>
      <c r="G28" s="144"/>
      <c r="H28" s="13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6" x14ac:dyDescent="0.25">
      <c r="A29" s="1"/>
      <c r="B29" s="21">
        <v>160</v>
      </c>
      <c r="C29" s="143" t="s">
        <v>2269</v>
      </c>
      <c r="D29" s="144">
        <f t="shared" si="3"/>
        <v>798.33333333333337</v>
      </c>
      <c r="E29" s="144">
        <v>4790</v>
      </c>
      <c r="F29" s="133"/>
      <c r="G29" s="145"/>
      <c r="H29" s="13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6" x14ac:dyDescent="0.25">
      <c r="A30" s="1"/>
      <c r="B30" s="21">
        <v>200</v>
      </c>
      <c r="C30" s="143" t="s">
        <v>2270</v>
      </c>
      <c r="D30" s="144">
        <f t="shared" si="3"/>
        <v>1228</v>
      </c>
      <c r="E30" s="144">
        <v>7368</v>
      </c>
      <c r="F30" s="133"/>
      <c r="G30" s="145"/>
      <c r="H30" s="13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.2" x14ac:dyDescent="0.25">
      <c r="A31" s="1"/>
      <c r="B31" s="1"/>
      <c r="C31" s="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.2" x14ac:dyDescent="0.25">
      <c r="A32" s="1"/>
      <c r="B32" s="1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1"/>
      <c r="B33" s="1"/>
      <c r="C33" s="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 x14ac:dyDescent="0.25">
      <c r="A34" s="1"/>
      <c r="B34" s="1"/>
      <c r="C34" s="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 x14ac:dyDescent="0.25">
      <c r="A35" s="1"/>
      <c r="B35" s="1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 x14ac:dyDescent="0.25">
      <c r="A36" s="1"/>
      <c r="B36" s="1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 x14ac:dyDescent="0.25">
      <c r="A37" s="1"/>
      <c r="B37" s="1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"/>
      <c r="C38" s="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1"/>
      <c r="B39" s="1"/>
      <c r="C39" s="1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"/>
      <c r="C40" s="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"/>
      <c r="C41" s="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"/>
      <c r="C42" s="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"/>
      <c r="C43" s="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"/>
      <c r="C44" s="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"/>
      <c r="C45" s="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"/>
      <c r="C46" s="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"/>
      <c r="C47" s="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"/>
      <c r="C48" s="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"/>
      <c r="C49" s="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"/>
      <c r="C50" s="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"/>
      <c r="C51" s="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"/>
      <c r="C52" s="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"/>
      <c r="C53" s="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"/>
      <c r="C54" s="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"/>
      <c r="C55" s="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"/>
      <c r="C56" s="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"/>
      <c r="C57" s="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"/>
      <c r="C58" s="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"/>
      <c r="C59" s="1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"/>
      <c r="C60" s="1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"/>
      <c r="C61" s="1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"/>
      <c r="C62" s="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"/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"/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"/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"/>
      <c r="C66" s="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"/>
      <c r="C67" s="1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"/>
      <c r="C68" s="1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"/>
      <c r="C69" s="1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"/>
      <c r="C70" s="1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"/>
      <c r="C71" s="1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"/>
      <c r="C72" s="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"/>
      <c r="C73" s="1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"/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"/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"/>
      <c r="C76" s="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"/>
      <c r="C77" s="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"/>
      <c r="C78" s="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"/>
      <c r="C79" s="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"/>
      <c r="C80" s="1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"/>
      <c r="C81" s="1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"/>
      <c r="C82" s="1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"/>
      <c r="C83" s="1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"/>
      <c r="C84" s="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"/>
      <c r="C85" s="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"/>
      <c r="C86" s="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"/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"/>
      <c r="C88" s="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"/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"/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"/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"/>
      <c r="C92" s="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"/>
      <c r="C93" s="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"/>
      <c r="C94" s="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"/>
      <c r="C95" s="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"/>
      <c r="C96" s="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"/>
      <c r="C97" s="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"/>
      <c r="C98" s="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"/>
      <c r="C99" s="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"/>
      <c r="C100" s="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"/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"/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"/>
      <c r="C104" s="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"/>
      <c r="C105" s="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"/>
      <c r="C106" s="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"/>
      <c r="C107" s="1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"/>
      <c r="C108" s="1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"/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"/>
      <c r="C111" s="1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"/>
      <c r="C112" s="1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"/>
      <c r="C113" s="1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"/>
      <c r="C114" s="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"/>
      <c r="C115" s="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"/>
      <c r="C116" s="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"/>
      <c r="C117" s="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"/>
      <c r="C118" s="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"/>
      <c r="C119" s="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"/>
      <c r="C120" s="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"/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"/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"/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"/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"/>
      <c r="C158" s="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"/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"/>
      <c r="C160" s="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"/>
      <c r="C161" s="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"/>
      <c r="C162" s="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"/>
      <c r="C163" s="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"/>
      <c r="C164" s="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"/>
      <c r="C165" s="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"/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"/>
      <c r="C167" s="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"/>
      <c r="C168" s="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"/>
      <c r="C169" s="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"/>
      <c r="C170" s="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"/>
      <c r="C171" s="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"/>
      <c r="C172" s="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"/>
      <c r="C173" s="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"/>
      <c r="C174" s="1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"/>
      <c r="C175" s="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"/>
      <c r="C176" s="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"/>
      <c r="C177" s="1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"/>
      <c r="C178" s="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"/>
      <c r="C179" s="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"/>
      <c r="C180" s="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"/>
      <c r="C181" s="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"/>
      <c r="C182" s="1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"/>
      <c r="C183" s="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"/>
      <c r="C184" s="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"/>
      <c r="C185" s="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"/>
      <c r="C186" s="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"/>
      <c r="C187" s="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"/>
      <c r="C188" s="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"/>
      <c r="C189" s="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"/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"/>
      <c r="C191" s="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"/>
      <c r="C192" s="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"/>
      <c r="C193" s="1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"/>
      <c r="C194" s="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"/>
      <c r="C195" s="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"/>
      <c r="C196" s="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"/>
      <c r="C197" s="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"/>
      <c r="C198" s="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"/>
      <c r="C199" s="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"/>
      <c r="C200" s="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"/>
      <c r="C201" s="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"/>
      <c r="C202" s="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"/>
      <c r="C203" s="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"/>
      <c r="C204" s="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"/>
      <c r="C205" s="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"/>
      <c r="C206" s="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"/>
      <c r="C207" s="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"/>
      <c r="C208" s="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"/>
      <c r="C209" s="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"/>
      <c r="C210" s="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"/>
      <c r="C211" s="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"/>
      <c r="C212" s="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"/>
      <c r="C213" s="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"/>
      <c r="C214" s="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"/>
      <c r="C215" s="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"/>
      <c r="C216" s="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"/>
      <c r="C217" s="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"/>
      <c r="C218" s="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"/>
      <c r="C219" s="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"/>
      <c r="C220" s="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"/>
      <c r="C221" s="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"/>
      <c r="C222" s="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"/>
      <c r="C223" s="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"/>
      <c r="C224" s="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"/>
      <c r="C225" s="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"/>
      <c r="C226" s="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"/>
      <c r="C227" s="1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"/>
      <c r="C228" s="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"/>
      <c r="C229" s="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"/>
      <c r="C230" s="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"/>
      <c r="C231" s="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"/>
      <c r="C232" s="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"/>
      <c r="C233" s="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"/>
      <c r="C234" s="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"/>
      <c r="C235" s="1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"/>
      <c r="C236" s="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"/>
      <c r="C237" s="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"/>
      <c r="C238" s="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"/>
      <c r="C239" s="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"/>
      <c r="C240" s="1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"/>
      <c r="C241" s="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"/>
      <c r="C242" s="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"/>
      <c r="C243" s="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"/>
      <c r="C244" s="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"/>
      <c r="C245" s="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"/>
      <c r="C246" s="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"/>
      <c r="C247" s="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"/>
      <c r="C248" s="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"/>
      <c r="C249" s="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"/>
      <c r="C250" s="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"/>
      <c r="C251" s="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"/>
      <c r="C252" s="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"/>
      <c r="C253" s="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"/>
      <c r="C254" s="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"/>
      <c r="C255" s="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"/>
      <c r="C256" s="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"/>
      <c r="C257" s="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"/>
      <c r="C258" s="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"/>
      <c r="C259" s="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"/>
      <c r="C260" s="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"/>
      <c r="C261" s="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"/>
      <c r="C262" s="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"/>
      <c r="C263" s="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"/>
      <c r="C264" s="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"/>
      <c r="C265" s="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"/>
      <c r="C266" s="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"/>
      <c r="C267" s="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"/>
      <c r="C268" s="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"/>
      <c r="C269" s="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"/>
      <c r="C270" s="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"/>
      <c r="C271" s="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"/>
      <c r="C272" s="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"/>
      <c r="C273" s="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"/>
      <c r="C274" s="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"/>
      <c r="C275" s="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"/>
      <c r="C276" s="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"/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"/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"/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"/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"/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"/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"/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"/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"/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"/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"/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"/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"/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"/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"/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"/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"/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"/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"/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"/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"/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"/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"/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"/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"/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"/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"/>
      <c r="C303" s="1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"/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"/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"/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"/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"/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"/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"/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"/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"/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"/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"/>
      <c r="C314" s="1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"/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"/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"/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"/>
      <c r="C318" s="1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"/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"/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"/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"/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"/>
      <c r="C323" s="1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"/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"/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"/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"/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"/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"/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"/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"/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"/>
      <c r="C332" s="1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"/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"/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"/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"/>
      <c r="C336" s="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"/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"/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"/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"/>
      <c r="C340" s="1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"/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"/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"/>
      <c r="C343" s="1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"/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"/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"/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"/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"/>
      <c r="C348" s="1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"/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"/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"/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"/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"/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"/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"/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"/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"/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"/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"/>
      <c r="C359" s="1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"/>
      <c r="C360" s="1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"/>
      <c r="C361" s="1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"/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"/>
      <c r="C363" s="1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"/>
      <c r="C364" s="1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"/>
      <c r="C365" s="1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"/>
      <c r="C366" s="1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"/>
      <c r="C367" s="1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"/>
      <c r="C368" s="1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"/>
      <c r="C369" s="1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"/>
      <c r="C370" s="1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"/>
      <c r="C371" s="1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"/>
      <c r="C372" s="1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"/>
      <c r="C373" s="1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"/>
      <c r="C374" s="1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"/>
      <c r="C375" s="1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"/>
      <c r="C376" s="1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"/>
      <c r="C377" s="1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"/>
      <c r="C378" s="1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"/>
      <c r="C379" s="1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"/>
      <c r="C380" s="1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"/>
      <c r="C381" s="1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"/>
      <c r="C382" s="1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"/>
      <c r="C383" s="1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"/>
      <c r="C384" s="1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"/>
      <c r="C385" s="1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"/>
      <c r="C386" s="1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"/>
      <c r="C387" s="1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"/>
      <c r="C388" s="1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"/>
      <c r="C389" s="1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"/>
      <c r="C390" s="1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"/>
      <c r="C391" s="1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"/>
      <c r="C392" s="1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"/>
      <c r="C393" s="1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"/>
      <c r="C394" s="1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"/>
      <c r="C395" s="1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"/>
      <c r="C396" s="1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"/>
      <c r="C397" s="1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"/>
      <c r="C398" s="1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"/>
      <c r="C399" s="1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"/>
      <c r="C400" s="1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"/>
      <c r="C401" s="1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"/>
      <c r="C402" s="1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"/>
      <c r="C403" s="1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"/>
      <c r="C404" s="1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"/>
      <c r="C405" s="1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"/>
      <c r="C406" s="1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"/>
      <c r="C407" s="1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"/>
      <c r="C408" s="1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"/>
      <c r="C409" s="1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"/>
      <c r="C410" s="1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"/>
      <c r="C411" s="1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"/>
      <c r="C412" s="1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"/>
      <c r="C413" s="1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"/>
      <c r="C414" s="1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"/>
      <c r="C415" s="1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"/>
      <c r="C416" s="1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"/>
      <c r="C417" s="1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"/>
      <c r="C418" s="1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"/>
      <c r="C419" s="1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"/>
      <c r="C420" s="1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"/>
      <c r="C421" s="1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"/>
      <c r="C422" s="1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"/>
      <c r="C423" s="1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"/>
      <c r="C424" s="1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"/>
      <c r="C425" s="1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"/>
      <c r="C426" s="1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"/>
      <c r="C427" s="1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"/>
      <c r="C428" s="1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"/>
      <c r="C429" s="1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"/>
      <c r="C430" s="1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"/>
      <c r="C431" s="1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"/>
      <c r="C432" s="1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"/>
      <c r="C433" s="1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"/>
      <c r="C434" s="1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"/>
      <c r="C435" s="1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"/>
      <c r="C436" s="1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"/>
      <c r="C437" s="1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"/>
      <c r="C438" s="1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"/>
      <c r="C439" s="1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"/>
      <c r="C440" s="1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"/>
      <c r="C441" s="1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"/>
      <c r="C442" s="1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"/>
      <c r="C443" s="1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"/>
      <c r="C444" s="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"/>
      <c r="C445" s="1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"/>
      <c r="C446" s="1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"/>
      <c r="C447" s="1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"/>
      <c r="C448" s="1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"/>
      <c r="C449" s="1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"/>
      <c r="C450" s="1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"/>
      <c r="C451" s="1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"/>
      <c r="C452" s="1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"/>
      <c r="C453" s="1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"/>
      <c r="C454" s="1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"/>
      <c r="C455" s="1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"/>
      <c r="C456" s="1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"/>
      <c r="C457" s="1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"/>
      <c r="C458" s="1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"/>
      <c r="C459" s="1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"/>
      <c r="C460" s="1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"/>
      <c r="C461" s="1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"/>
      <c r="C462" s="1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"/>
      <c r="C463" s="1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"/>
      <c r="C464" s="1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"/>
      <c r="C465" s="1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"/>
      <c r="C466" s="1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"/>
      <c r="C467" s="1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"/>
      <c r="C468" s="1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"/>
      <c r="C469" s="1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"/>
      <c r="C470" s="1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"/>
      <c r="C471" s="1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"/>
      <c r="C472" s="1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"/>
      <c r="C473" s="1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"/>
      <c r="C474" s="1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"/>
      <c r="C475" s="1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"/>
      <c r="C476" s="1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"/>
      <c r="C477" s="1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"/>
      <c r="C478" s="1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"/>
      <c r="C479" s="1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"/>
      <c r="C480" s="1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"/>
      <c r="C481" s="1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"/>
      <c r="C482" s="1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"/>
      <c r="C483" s="1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"/>
      <c r="C484" s="1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"/>
      <c r="C485" s="1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"/>
      <c r="C486" s="1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"/>
      <c r="C487" s="1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"/>
      <c r="C488" s="1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"/>
      <c r="C489" s="1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"/>
      <c r="C490" s="1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"/>
      <c r="C491" s="1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"/>
      <c r="C492" s="1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"/>
      <c r="C493" s="1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"/>
      <c r="C494" s="1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"/>
      <c r="C495" s="1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"/>
      <c r="C496" s="1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"/>
      <c r="C497" s="1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"/>
      <c r="C498" s="1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"/>
      <c r="C499" s="1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"/>
      <c r="C500" s="1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"/>
      <c r="C501" s="1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"/>
      <c r="C502" s="1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"/>
      <c r="C503" s="1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"/>
      <c r="C504" s="1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"/>
      <c r="C505" s="1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"/>
      <c r="C506" s="1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"/>
      <c r="C507" s="1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"/>
      <c r="C508" s="1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"/>
      <c r="C509" s="1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"/>
      <c r="C510" s="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"/>
      <c r="C511" s="1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"/>
      <c r="C512" s="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"/>
      <c r="C513" s="1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"/>
      <c r="C514" s="1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"/>
      <c r="C515" s="1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"/>
      <c r="C516" s="1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"/>
      <c r="C517" s="1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"/>
      <c r="C518" s="1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"/>
      <c r="C519" s="1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"/>
      <c r="C520" s="1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"/>
      <c r="C521" s="1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"/>
      <c r="C522" s="1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"/>
      <c r="C523" s="1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"/>
      <c r="C524" s="1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"/>
      <c r="C525" s="1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"/>
      <c r="C526" s="1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"/>
      <c r="C527" s="1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"/>
      <c r="C528" s="1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"/>
      <c r="C529" s="1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"/>
      <c r="C530" s="1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"/>
      <c r="C531" s="1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"/>
      <c r="C532" s="1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"/>
      <c r="C533" s="1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"/>
      <c r="C534" s="1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"/>
      <c r="C535" s="1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"/>
      <c r="C536" s="1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"/>
      <c r="C537" s="1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"/>
      <c r="C538" s="1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"/>
      <c r="C539" s="1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"/>
      <c r="C540" s="1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"/>
      <c r="C541" s="1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"/>
      <c r="C542" s="1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"/>
      <c r="C543" s="1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"/>
      <c r="C544" s="1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"/>
      <c r="C545" s="1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"/>
      <c r="C546" s="1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"/>
      <c r="C547" s="1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"/>
      <c r="C548" s="1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"/>
      <c r="C549" s="1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"/>
      <c r="C550" s="1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"/>
      <c r="C551" s="1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"/>
      <c r="C552" s="1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"/>
      <c r="C553" s="1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"/>
      <c r="C554" s="1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"/>
      <c r="C555" s="1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"/>
      <c r="C556" s="1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"/>
      <c r="C557" s="1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"/>
      <c r="C558" s="1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"/>
      <c r="C559" s="1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"/>
      <c r="C560" s="1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"/>
      <c r="C561" s="1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"/>
      <c r="C562" s="1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"/>
      <c r="C563" s="1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"/>
      <c r="C564" s="1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"/>
      <c r="C565" s="1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"/>
      <c r="C566" s="1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"/>
      <c r="C567" s="1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"/>
      <c r="C568" s="1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"/>
      <c r="C569" s="1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"/>
      <c r="C570" s="1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"/>
      <c r="C571" s="1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"/>
      <c r="C572" s="1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"/>
      <c r="C573" s="1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"/>
      <c r="C574" s="1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"/>
      <c r="C575" s="1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"/>
      <c r="C576" s="1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"/>
      <c r="C577" s="1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"/>
      <c r="C578" s="1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"/>
      <c r="C579" s="1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"/>
      <c r="C580" s="1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"/>
      <c r="C581" s="1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"/>
      <c r="C582" s="1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"/>
      <c r="C583" s="1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"/>
      <c r="C584" s="1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"/>
      <c r="C585" s="1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"/>
      <c r="C586" s="1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"/>
      <c r="C587" s="1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"/>
      <c r="C588" s="1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"/>
      <c r="C589" s="1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"/>
      <c r="C590" s="1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"/>
      <c r="C591" s="1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"/>
      <c r="C592" s="1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"/>
      <c r="C593" s="1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"/>
      <c r="C594" s="1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"/>
      <c r="C595" s="1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"/>
      <c r="C596" s="1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"/>
      <c r="C597" s="1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"/>
      <c r="C598" s="1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"/>
      <c r="C599" s="1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"/>
      <c r="C600" s="1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"/>
      <c r="C601" s="1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"/>
      <c r="C602" s="1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"/>
      <c r="C603" s="1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"/>
      <c r="C604" s="1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"/>
      <c r="C605" s="1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"/>
      <c r="C606" s="1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"/>
      <c r="C607" s="1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"/>
      <c r="C608" s="1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"/>
      <c r="C609" s="1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"/>
      <c r="C610" s="1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"/>
      <c r="C611" s="1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"/>
      <c r="C612" s="1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"/>
      <c r="C613" s="1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"/>
      <c r="C614" s="1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"/>
      <c r="C615" s="1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"/>
      <c r="C616" s="1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"/>
      <c r="C617" s="1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"/>
      <c r="C618" s="1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"/>
      <c r="C619" s="1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"/>
      <c r="C620" s="1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"/>
      <c r="C621" s="1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"/>
      <c r="C622" s="1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"/>
      <c r="C623" s="1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"/>
      <c r="C624" s="1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"/>
      <c r="C625" s="1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"/>
      <c r="C626" s="1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"/>
      <c r="C627" s="1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"/>
      <c r="C628" s="1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"/>
      <c r="C629" s="1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"/>
      <c r="C630" s="1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"/>
      <c r="C631" s="1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"/>
      <c r="C632" s="1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"/>
      <c r="C633" s="1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"/>
      <c r="C634" s="1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"/>
      <c r="C635" s="1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"/>
      <c r="C636" s="1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"/>
      <c r="C637" s="1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"/>
      <c r="C638" s="1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"/>
      <c r="C639" s="1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"/>
      <c r="C640" s="1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"/>
      <c r="C641" s="1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"/>
      <c r="C642" s="1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"/>
      <c r="C643" s="1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"/>
      <c r="C644" s="1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"/>
      <c r="C645" s="1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"/>
      <c r="C646" s="1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"/>
      <c r="C647" s="1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"/>
      <c r="C648" s="1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"/>
      <c r="C649" s="1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"/>
      <c r="C650" s="1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"/>
      <c r="C651" s="1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"/>
      <c r="C652" s="1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"/>
      <c r="C653" s="1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"/>
      <c r="C654" s="1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"/>
      <c r="C655" s="1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"/>
      <c r="C656" s="1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"/>
      <c r="C657" s="1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"/>
      <c r="C658" s="1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"/>
      <c r="C659" s="1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"/>
      <c r="C660" s="1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"/>
      <c r="C661" s="1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"/>
      <c r="C662" s="1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"/>
      <c r="C663" s="1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"/>
      <c r="C664" s="1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"/>
      <c r="C665" s="1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"/>
      <c r="C666" s="1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"/>
      <c r="C667" s="1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"/>
      <c r="C668" s="1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"/>
      <c r="C669" s="1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"/>
      <c r="C670" s="1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"/>
      <c r="C671" s="1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"/>
      <c r="C672" s="1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"/>
      <c r="C673" s="1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"/>
      <c r="C674" s="1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"/>
      <c r="C675" s="1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"/>
      <c r="C676" s="1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"/>
      <c r="C677" s="1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"/>
      <c r="C678" s="1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"/>
      <c r="C679" s="1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"/>
      <c r="C680" s="1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"/>
      <c r="C681" s="1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"/>
      <c r="C682" s="1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"/>
      <c r="C683" s="1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"/>
      <c r="C684" s="1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"/>
      <c r="C685" s="1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"/>
      <c r="C686" s="1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"/>
      <c r="C687" s="1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"/>
      <c r="C688" s="1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"/>
      <c r="C689" s="1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"/>
      <c r="C690" s="1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"/>
      <c r="C691" s="1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"/>
      <c r="C692" s="1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"/>
      <c r="C693" s="1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"/>
      <c r="C694" s="1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"/>
      <c r="C695" s="1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"/>
      <c r="C696" s="1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"/>
      <c r="C697" s="1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"/>
      <c r="C698" s="1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"/>
      <c r="C699" s="1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"/>
      <c r="C700" s="1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"/>
      <c r="C701" s="1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"/>
      <c r="C702" s="1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"/>
      <c r="C703" s="1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"/>
      <c r="C704" s="1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"/>
      <c r="C705" s="1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"/>
      <c r="C706" s="1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"/>
      <c r="C707" s="1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"/>
      <c r="C708" s="1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"/>
      <c r="C709" s="1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"/>
      <c r="C710" s="1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"/>
      <c r="C711" s="1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"/>
      <c r="C712" s="1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"/>
      <c r="C713" s="1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"/>
      <c r="C714" s="1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"/>
      <c r="C715" s="1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"/>
      <c r="C716" s="1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"/>
      <c r="C717" s="1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"/>
      <c r="C718" s="1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"/>
      <c r="C719" s="1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"/>
      <c r="C720" s="1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"/>
      <c r="C721" s="1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"/>
      <c r="C722" s="1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"/>
      <c r="C723" s="1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"/>
      <c r="C724" s="1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"/>
      <c r="C725" s="1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"/>
      <c r="C726" s="1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"/>
      <c r="C727" s="1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"/>
      <c r="C728" s="1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"/>
      <c r="C729" s="1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"/>
      <c r="C730" s="1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"/>
      <c r="C731" s="1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"/>
      <c r="C732" s="1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"/>
      <c r="C733" s="1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"/>
      <c r="C734" s="1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"/>
      <c r="C735" s="1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"/>
      <c r="C736" s="1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"/>
      <c r="C737" s="1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"/>
      <c r="C738" s="1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"/>
      <c r="C739" s="1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"/>
      <c r="C740" s="1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"/>
      <c r="C741" s="1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"/>
      <c r="C742" s="1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"/>
      <c r="C743" s="1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"/>
      <c r="C744" s="1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"/>
      <c r="C745" s="1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"/>
      <c r="C746" s="1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"/>
      <c r="C747" s="1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"/>
      <c r="C748" s="1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"/>
      <c r="C749" s="1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"/>
      <c r="C750" s="1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"/>
      <c r="C751" s="1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"/>
      <c r="C752" s="1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"/>
      <c r="C753" s="1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"/>
      <c r="C754" s="1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"/>
      <c r="C755" s="1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"/>
      <c r="C756" s="1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"/>
      <c r="C757" s="1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"/>
      <c r="C758" s="1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"/>
      <c r="C759" s="1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"/>
      <c r="C760" s="1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"/>
      <c r="C761" s="1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"/>
      <c r="C762" s="1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"/>
      <c r="C763" s="1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"/>
      <c r="C764" s="1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"/>
      <c r="C765" s="1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"/>
      <c r="C766" s="1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"/>
      <c r="C767" s="1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"/>
      <c r="C768" s="1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"/>
      <c r="C769" s="1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"/>
      <c r="C770" s="1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"/>
      <c r="C771" s="1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"/>
      <c r="C772" s="1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"/>
      <c r="C773" s="1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"/>
      <c r="C774" s="1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"/>
      <c r="C775" s="1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"/>
      <c r="C776" s="1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"/>
      <c r="C777" s="1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"/>
      <c r="C778" s="1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"/>
      <c r="C779" s="1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"/>
      <c r="C780" s="1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"/>
      <c r="C781" s="1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"/>
      <c r="C782" s="1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"/>
      <c r="C783" s="1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"/>
      <c r="C784" s="1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"/>
      <c r="C785" s="1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"/>
      <c r="C786" s="1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"/>
      <c r="C787" s="1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"/>
      <c r="C788" s="1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"/>
      <c r="C789" s="1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"/>
      <c r="C790" s="1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"/>
      <c r="C791" s="1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"/>
      <c r="C792" s="1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"/>
      <c r="C793" s="1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"/>
      <c r="C794" s="1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"/>
      <c r="C795" s="1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"/>
      <c r="C796" s="1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"/>
      <c r="C797" s="1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"/>
      <c r="C798" s="1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"/>
      <c r="C799" s="1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"/>
      <c r="C800" s="1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"/>
      <c r="C801" s="1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"/>
      <c r="C802" s="1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"/>
      <c r="C803" s="1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"/>
      <c r="C804" s="1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"/>
      <c r="C805" s="1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"/>
      <c r="C806" s="1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"/>
      <c r="C807" s="1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"/>
      <c r="C808" s="1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"/>
      <c r="C809" s="1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"/>
      <c r="C810" s="1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"/>
      <c r="C811" s="1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"/>
      <c r="C812" s="1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"/>
      <c r="C813" s="1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"/>
      <c r="C814" s="1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"/>
      <c r="C815" s="1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"/>
      <c r="C816" s="1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"/>
      <c r="C817" s="1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"/>
      <c r="C818" s="1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"/>
      <c r="C819" s="1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"/>
      <c r="C820" s="1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"/>
      <c r="C821" s="1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"/>
      <c r="C822" s="1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"/>
      <c r="C823" s="1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"/>
      <c r="C824" s="1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"/>
      <c r="C825" s="1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"/>
      <c r="C826" s="1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"/>
      <c r="C827" s="1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"/>
      <c r="C828" s="1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"/>
      <c r="C829" s="1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"/>
      <c r="C830" s="1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"/>
      <c r="C831" s="1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"/>
      <c r="C832" s="1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"/>
      <c r="C833" s="1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"/>
      <c r="C834" s="1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"/>
      <c r="C835" s="1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"/>
      <c r="C836" s="1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"/>
      <c r="C837" s="1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"/>
      <c r="C838" s="1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"/>
      <c r="C839" s="1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"/>
      <c r="C840" s="1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"/>
      <c r="C841" s="1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"/>
      <c r="C842" s="1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"/>
      <c r="C843" s="1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"/>
      <c r="C844" s="1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"/>
      <c r="C845" s="1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"/>
      <c r="C846" s="1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"/>
      <c r="C847" s="1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"/>
      <c r="C848" s="1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"/>
      <c r="C849" s="1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"/>
      <c r="C850" s="1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"/>
      <c r="C851" s="1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"/>
      <c r="C852" s="1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"/>
      <c r="C853" s="1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"/>
      <c r="C854" s="1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"/>
      <c r="C855" s="1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"/>
      <c r="C856" s="1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"/>
      <c r="C857" s="1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"/>
      <c r="C858" s="1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"/>
      <c r="C859" s="1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"/>
      <c r="C860" s="1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"/>
      <c r="C861" s="1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"/>
      <c r="C862" s="1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"/>
      <c r="C863" s="1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"/>
      <c r="C864" s="1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"/>
      <c r="C865" s="1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"/>
      <c r="C866" s="1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"/>
      <c r="C867" s="1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"/>
      <c r="C868" s="1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"/>
      <c r="C869" s="1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"/>
      <c r="C870" s="1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"/>
      <c r="C871" s="1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"/>
      <c r="C872" s="1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"/>
      <c r="C873" s="1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"/>
      <c r="C874" s="1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"/>
      <c r="C875" s="1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"/>
      <c r="C876" s="1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"/>
      <c r="C877" s="1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"/>
      <c r="C878" s="1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"/>
      <c r="C879" s="1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"/>
      <c r="C880" s="1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"/>
      <c r="C881" s="1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"/>
      <c r="C882" s="1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"/>
      <c r="C883" s="1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"/>
      <c r="C884" s="1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"/>
      <c r="C885" s="1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"/>
      <c r="C886" s="1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"/>
      <c r="C887" s="1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"/>
      <c r="C888" s="1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"/>
      <c r="C889" s="1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"/>
      <c r="C890" s="1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"/>
      <c r="C891" s="1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"/>
      <c r="C892" s="1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"/>
      <c r="C893" s="1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"/>
      <c r="C894" s="1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"/>
      <c r="C895" s="1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"/>
      <c r="C896" s="1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"/>
      <c r="C897" s="1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"/>
      <c r="C898" s="1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"/>
      <c r="C899" s="1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"/>
      <c r="C900" s="1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"/>
      <c r="C901" s="1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"/>
      <c r="C902" s="1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"/>
      <c r="C903" s="1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"/>
      <c r="C904" s="1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"/>
      <c r="C905" s="1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"/>
      <c r="C906" s="1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"/>
      <c r="C907" s="1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"/>
      <c r="C908" s="1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"/>
      <c r="C909" s="1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"/>
      <c r="C910" s="1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"/>
      <c r="C911" s="1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"/>
      <c r="C912" s="1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"/>
      <c r="C913" s="1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"/>
      <c r="C914" s="1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"/>
      <c r="C915" s="1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"/>
      <c r="C916" s="1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"/>
      <c r="C917" s="1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"/>
      <c r="C918" s="1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"/>
      <c r="C919" s="1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"/>
      <c r="C920" s="1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"/>
      <c r="C921" s="1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"/>
      <c r="C922" s="1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"/>
      <c r="C923" s="1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"/>
      <c r="C924" s="1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"/>
      <c r="C925" s="1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"/>
      <c r="C926" s="1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"/>
      <c r="C927" s="1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"/>
      <c r="C928" s="1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"/>
      <c r="C929" s="1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"/>
      <c r="C930" s="1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"/>
      <c r="C931" s="1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"/>
      <c r="C932" s="1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"/>
      <c r="C933" s="1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"/>
      <c r="C934" s="1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"/>
      <c r="C935" s="1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"/>
      <c r="C936" s="1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"/>
      <c r="C937" s="1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"/>
      <c r="C938" s="1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"/>
      <c r="C939" s="1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"/>
      <c r="C940" s="1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"/>
      <c r="C941" s="1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"/>
      <c r="C942" s="1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"/>
      <c r="C943" s="1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"/>
      <c r="C944" s="1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"/>
      <c r="C945" s="1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"/>
      <c r="C946" s="1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"/>
      <c r="C947" s="1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"/>
      <c r="C948" s="1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"/>
      <c r="C949" s="1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"/>
      <c r="C950" s="1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"/>
      <c r="C951" s="1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"/>
      <c r="C952" s="1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"/>
      <c r="C953" s="1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"/>
      <c r="C954" s="1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"/>
      <c r="C955" s="1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"/>
      <c r="C956" s="1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"/>
      <c r="C957" s="1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"/>
      <c r="C958" s="1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"/>
      <c r="C959" s="1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"/>
      <c r="C960" s="1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"/>
      <c r="C961" s="1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"/>
      <c r="C962" s="1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"/>
      <c r="C963" s="1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"/>
      <c r="C964" s="1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"/>
      <c r="C965" s="1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"/>
      <c r="C966" s="1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"/>
      <c r="C967" s="1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"/>
      <c r="C968" s="1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"/>
      <c r="C969" s="1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"/>
      <c r="C970" s="1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"/>
      <c r="C971" s="1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"/>
      <c r="C972" s="1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"/>
      <c r="C973" s="1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"/>
      <c r="C974" s="1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"/>
      <c r="C975" s="1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"/>
      <c r="C976" s="1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"/>
      <c r="C977" s="1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"/>
      <c r="C978" s="1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"/>
      <c r="C979" s="1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"/>
      <c r="C980" s="1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"/>
      <c r="C981" s="1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"/>
      <c r="C982" s="1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"/>
      <c r="C983" s="1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"/>
      <c r="C984" s="1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"/>
      <c r="C985" s="1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"/>
      <c r="C986" s="1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"/>
      <c r="C987" s="1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"/>
      <c r="C988" s="1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"/>
      <c r="C989" s="1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"/>
      <c r="C990" s="1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"/>
      <c r="C991" s="1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"/>
      <c r="C992" s="1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"/>
      <c r="C993" s="1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"/>
      <c r="C994" s="1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"/>
      <c r="C995" s="1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"/>
      <c r="C996" s="1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"/>
      <c r="C997" s="1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"/>
      <c r="C998" s="1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</sheetData>
  <mergeCells count="2">
    <mergeCell ref="C1:E1"/>
    <mergeCell ref="F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W1000"/>
  <sheetViews>
    <sheetView workbookViewId="0">
      <pane ySplit="2" topLeftCell="A3" activePane="bottomLeft" state="frozen"/>
      <selection pane="bottomLeft" activeCell="H11" sqref="H11"/>
    </sheetView>
  </sheetViews>
  <sheetFormatPr defaultColWidth="12.6640625" defaultRowHeight="15.75" customHeight="1" x14ac:dyDescent="0.25"/>
  <cols>
    <col min="1" max="1" width="2.109375" customWidth="1"/>
    <col min="4" max="4" width="13" customWidth="1"/>
    <col min="5" max="5" width="14.88671875" customWidth="1"/>
    <col min="7" max="7" width="15.21875" customWidth="1"/>
    <col min="8" max="8" width="14" customWidth="1"/>
  </cols>
  <sheetData>
    <row r="1" spans="1:23" ht="23.25" customHeight="1" x14ac:dyDescent="0.25">
      <c r="A1" s="1"/>
      <c r="B1" s="126"/>
      <c r="C1" s="170" t="s">
        <v>0</v>
      </c>
      <c r="D1" s="181"/>
      <c r="E1" s="171"/>
      <c r="F1" s="170" t="s">
        <v>1</v>
      </c>
      <c r="G1" s="181"/>
      <c r="H1" s="1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2.25" customHeight="1" x14ac:dyDescent="0.25">
      <c r="A2" s="1"/>
      <c r="B2" s="3" t="s">
        <v>4</v>
      </c>
      <c r="C2" s="5" t="s">
        <v>5</v>
      </c>
      <c r="D2" s="6" t="s">
        <v>1925</v>
      </c>
      <c r="E2" s="6" t="s">
        <v>6</v>
      </c>
      <c r="F2" s="7" t="s">
        <v>5</v>
      </c>
      <c r="G2" s="8" t="s">
        <v>1925</v>
      </c>
      <c r="H2" s="8">
        <v>46235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2" x14ac:dyDescent="0.25">
      <c r="A3" s="1"/>
      <c r="B3" s="120" t="s">
        <v>2271</v>
      </c>
      <c r="C3" s="1"/>
      <c r="D3" s="120" t="s">
        <v>2272</v>
      </c>
      <c r="E3" s="1"/>
      <c r="F3" s="16"/>
      <c r="G3" s="18"/>
      <c r="H3" s="1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2" x14ac:dyDescent="0.25">
      <c r="A4" s="1"/>
      <c r="B4" s="81" t="s">
        <v>2273</v>
      </c>
      <c r="C4" s="1"/>
      <c r="D4" s="1"/>
      <c r="E4" s="1"/>
      <c r="F4" s="16"/>
      <c r="G4" s="18"/>
      <c r="H4" s="1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25">
      <c r="A5" s="32"/>
      <c r="B5" s="130">
        <v>20</v>
      </c>
      <c r="C5" s="150" t="s">
        <v>2274</v>
      </c>
      <c r="D5" s="133">
        <v>108</v>
      </c>
      <c r="E5" s="133">
        <v>324</v>
      </c>
      <c r="F5" s="23" t="s">
        <v>2275</v>
      </c>
      <c r="G5" s="151">
        <v>85</v>
      </c>
      <c r="H5" s="151">
        <v>255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15.6" x14ac:dyDescent="0.25">
      <c r="A6" s="32"/>
      <c r="B6" s="130">
        <v>25</v>
      </c>
      <c r="C6" s="150" t="s">
        <v>2276</v>
      </c>
      <c r="D6" s="133">
        <v>148</v>
      </c>
      <c r="E6" s="133">
        <v>444</v>
      </c>
      <c r="F6" s="23" t="s">
        <v>2277</v>
      </c>
      <c r="G6" s="151">
        <v>113</v>
      </c>
      <c r="H6" s="151">
        <v>339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.6" x14ac:dyDescent="0.25">
      <c r="A7" s="32"/>
      <c r="B7" s="130">
        <v>32</v>
      </c>
      <c r="C7" s="150" t="s">
        <v>2278</v>
      </c>
      <c r="D7" s="133">
        <v>238</v>
      </c>
      <c r="E7" s="133">
        <v>714</v>
      </c>
      <c r="F7" s="23" t="s">
        <v>2279</v>
      </c>
      <c r="G7" s="151">
        <v>183</v>
      </c>
      <c r="H7" s="151">
        <v>549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ht="15.6" x14ac:dyDescent="0.25">
      <c r="A8" s="32"/>
      <c r="B8" s="130">
        <v>40</v>
      </c>
      <c r="C8" s="150" t="s">
        <v>2280</v>
      </c>
      <c r="D8" s="133">
        <v>382</v>
      </c>
      <c r="E8" s="152">
        <v>1146</v>
      </c>
      <c r="F8" s="23" t="s">
        <v>2281</v>
      </c>
      <c r="G8" s="151">
        <v>300</v>
      </c>
      <c r="H8" s="151">
        <v>900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spans="1:23" ht="15.6" x14ac:dyDescent="0.25">
      <c r="A9" s="32"/>
      <c r="B9" s="130">
        <v>50</v>
      </c>
      <c r="C9" s="150" t="s">
        <v>2282</v>
      </c>
      <c r="D9" s="133">
        <v>618</v>
      </c>
      <c r="E9" s="152">
        <v>1854</v>
      </c>
      <c r="F9" s="23" t="s">
        <v>2283</v>
      </c>
      <c r="G9" s="153">
        <v>490</v>
      </c>
      <c r="H9" s="151">
        <v>1470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spans="1:23" ht="15.6" x14ac:dyDescent="0.25">
      <c r="A10" s="32"/>
      <c r="B10" s="130">
        <v>63</v>
      </c>
      <c r="C10" s="150" t="s">
        <v>2284</v>
      </c>
      <c r="D10" s="133">
        <v>898</v>
      </c>
      <c r="E10" s="152">
        <v>2694</v>
      </c>
      <c r="F10" s="23" t="s">
        <v>2285</v>
      </c>
      <c r="G10" s="151"/>
      <c r="H10" s="151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1:23" ht="15.6" x14ac:dyDescent="0.25">
      <c r="A11" s="32"/>
      <c r="B11" s="130">
        <v>75</v>
      </c>
      <c r="C11" s="150" t="s">
        <v>2286</v>
      </c>
      <c r="D11" s="152">
        <v>1182</v>
      </c>
      <c r="E11" s="152">
        <v>3546</v>
      </c>
      <c r="F11" s="23" t="s">
        <v>2287</v>
      </c>
      <c r="G11" s="151"/>
      <c r="H11" s="151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1:23" ht="15.6" x14ac:dyDescent="0.25">
      <c r="A12" s="32"/>
      <c r="B12" s="130">
        <v>90</v>
      </c>
      <c r="C12" s="150" t="s">
        <v>2288</v>
      </c>
      <c r="D12" s="152">
        <v>1898</v>
      </c>
      <c r="E12" s="152">
        <v>5694</v>
      </c>
      <c r="F12" s="23" t="s">
        <v>2289</v>
      </c>
      <c r="G12" s="151"/>
      <c r="H12" s="151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1:23" ht="15.6" x14ac:dyDescent="0.25">
      <c r="A13" s="32"/>
      <c r="B13" s="130">
        <v>110</v>
      </c>
      <c r="C13" s="150" t="s">
        <v>2290</v>
      </c>
      <c r="D13" s="152">
        <v>2546</v>
      </c>
      <c r="E13" s="152">
        <v>7638</v>
      </c>
      <c r="F13" s="23" t="s">
        <v>2291</v>
      </c>
      <c r="G13" s="151"/>
      <c r="H13" s="15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 ht="15.6" x14ac:dyDescent="0.25">
      <c r="A14" s="32"/>
      <c r="B14" s="130">
        <v>160</v>
      </c>
      <c r="C14" s="150"/>
      <c r="D14" s="133"/>
      <c r="E14" s="133"/>
      <c r="F14" s="23" t="s">
        <v>2292</v>
      </c>
      <c r="G14" s="135"/>
      <c r="H14" s="135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ht="13.2" x14ac:dyDescent="0.25">
      <c r="A15" s="1"/>
      <c r="B15" s="126"/>
      <c r="C15" s="1"/>
      <c r="D15" s="1"/>
      <c r="E15" s="1"/>
      <c r="F15" s="16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2" x14ac:dyDescent="0.25">
      <c r="A16" s="1"/>
      <c r="B16" s="81" t="s">
        <v>2293</v>
      </c>
      <c r="C16" s="1"/>
      <c r="D16" s="1"/>
      <c r="E16" s="1"/>
      <c r="F16" s="16"/>
      <c r="G16" s="18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6" x14ac:dyDescent="0.25">
      <c r="A17" s="1"/>
      <c r="B17" s="130">
        <v>20</v>
      </c>
      <c r="C17" s="150" t="s">
        <v>2294</v>
      </c>
      <c r="D17" s="133">
        <v>92</v>
      </c>
      <c r="E17" s="133">
        <v>275</v>
      </c>
      <c r="F17" s="23" t="s">
        <v>2295</v>
      </c>
      <c r="G17" s="132">
        <v>74</v>
      </c>
      <c r="H17" s="72">
        <v>222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6" x14ac:dyDescent="0.25">
      <c r="A18" s="1"/>
      <c r="B18" s="130">
        <v>25</v>
      </c>
      <c r="C18" s="150" t="s">
        <v>2296</v>
      </c>
      <c r="D18" s="133">
        <v>126</v>
      </c>
      <c r="E18" s="133">
        <v>378</v>
      </c>
      <c r="F18" s="23" t="s">
        <v>2297</v>
      </c>
      <c r="G18" s="132">
        <v>98</v>
      </c>
      <c r="H18" s="72">
        <v>294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x14ac:dyDescent="0.25">
      <c r="A19" s="1"/>
      <c r="B19" s="130">
        <v>32</v>
      </c>
      <c r="C19" s="150" t="s">
        <v>2298</v>
      </c>
      <c r="D19" s="133">
        <v>206</v>
      </c>
      <c r="E19" s="133">
        <v>618</v>
      </c>
      <c r="F19" s="23" t="s">
        <v>2299</v>
      </c>
      <c r="G19" s="132">
        <v>157</v>
      </c>
      <c r="H19" s="72">
        <v>471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25">
      <c r="A20" s="1"/>
      <c r="B20" s="130">
        <v>40</v>
      </c>
      <c r="C20" s="150" t="s">
        <v>2300</v>
      </c>
      <c r="D20" s="133">
        <v>326</v>
      </c>
      <c r="E20" s="152">
        <v>978</v>
      </c>
      <c r="F20" s="23" t="s">
        <v>2301</v>
      </c>
      <c r="G20" s="132">
        <v>260</v>
      </c>
      <c r="H20" s="72">
        <v>780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6" x14ac:dyDescent="0.25">
      <c r="A21" s="1"/>
      <c r="B21" s="130">
        <v>50</v>
      </c>
      <c r="C21" s="150" t="s">
        <v>2302</v>
      </c>
      <c r="D21" s="133">
        <v>536</v>
      </c>
      <c r="E21" s="152">
        <v>1608</v>
      </c>
      <c r="F21" s="23" t="s">
        <v>2303</v>
      </c>
      <c r="G21" s="132">
        <v>421</v>
      </c>
      <c r="H21" s="72">
        <v>1263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25">
      <c r="A22" s="1"/>
      <c r="B22" s="130">
        <v>63</v>
      </c>
      <c r="C22" s="150" t="s">
        <v>2304</v>
      </c>
      <c r="D22" s="133">
        <v>768</v>
      </c>
      <c r="E22" s="152">
        <v>2304</v>
      </c>
      <c r="F22" s="23" t="s">
        <v>2305</v>
      </c>
      <c r="G22" s="132"/>
      <c r="H22" s="7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25">
      <c r="A23" s="1"/>
      <c r="B23" s="130">
        <v>75</v>
      </c>
      <c r="C23" s="150" t="s">
        <v>2306</v>
      </c>
      <c r="D23" s="152">
        <v>996</v>
      </c>
      <c r="E23" s="152">
        <v>2988</v>
      </c>
      <c r="F23" s="23" t="s">
        <v>2307</v>
      </c>
      <c r="G23" s="132"/>
      <c r="H23" s="7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6" x14ac:dyDescent="0.25">
      <c r="A24" s="1"/>
      <c r="B24" s="130">
        <v>90</v>
      </c>
      <c r="C24" s="150" t="s">
        <v>2308</v>
      </c>
      <c r="D24" s="152">
        <v>1596</v>
      </c>
      <c r="E24" s="152">
        <v>4788</v>
      </c>
      <c r="F24" s="23" t="s">
        <v>2309</v>
      </c>
      <c r="G24" s="132"/>
      <c r="H24" s="7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6" x14ac:dyDescent="0.25">
      <c r="A25" s="1"/>
      <c r="B25" s="130">
        <v>110</v>
      </c>
      <c r="C25" s="150" t="s">
        <v>2310</v>
      </c>
      <c r="D25" s="152">
        <v>2286</v>
      </c>
      <c r="E25" s="152">
        <v>6858</v>
      </c>
      <c r="F25" s="23" t="s">
        <v>2311</v>
      </c>
      <c r="G25" s="132"/>
      <c r="H25" s="7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6" x14ac:dyDescent="0.25">
      <c r="A26" s="1"/>
      <c r="B26" s="130">
        <v>160</v>
      </c>
      <c r="C26" s="150" t="s">
        <v>2312</v>
      </c>
      <c r="D26" s="133">
        <v>4588</v>
      </c>
      <c r="E26" s="133">
        <v>13764</v>
      </c>
      <c r="F26" s="23" t="s">
        <v>2313</v>
      </c>
      <c r="G26" s="132"/>
      <c r="H26" s="7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2" x14ac:dyDescent="0.25">
      <c r="A27" s="1"/>
      <c r="B27" s="126"/>
      <c r="C27" s="1"/>
      <c r="D27" s="1"/>
      <c r="E27" s="1"/>
      <c r="F27" s="16"/>
      <c r="G27" s="18"/>
      <c r="H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2" x14ac:dyDescent="0.25">
      <c r="A28" s="1"/>
      <c r="B28" s="81" t="s">
        <v>2314</v>
      </c>
      <c r="C28" s="1"/>
      <c r="D28" s="1"/>
      <c r="E28" s="1"/>
      <c r="F28" s="16"/>
      <c r="G28" s="18"/>
      <c r="H28" s="1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6" x14ac:dyDescent="0.25">
      <c r="A29" s="1"/>
      <c r="B29" s="130">
        <v>20</v>
      </c>
      <c r="C29" s="150" t="s">
        <v>2315</v>
      </c>
      <c r="D29" s="133">
        <v>68</v>
      </c>
      <c r="E29" s="133">
        <v>204</v>
      </c>
      <c r="F29" s="23" t="s">
        <v>2316</v>
      </c>
      <c r="G29" s="132">
        <v>58</v>
      </c>
      <c r="H29" s="72">
        <v>174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6" x14ac:dyDescent="0.25">
      <c r="A30" s="1"/>
      <c r="B30" s="130">
        <v>25</v>
      </c>
      <c r="C30" s="150" t="s">
        <v>2317</v>
      </c>
      <c r="D30" s="133">
        <v>94</v>
      </c>
      <c r="E30" s="133">
        <v>282</v>
      </c>
      <c r="F30" s="23" t="s">
        <v>2318</v>
      </c>
      <c r="G30" s="132">
        <v>75</v>
      </c>
      <c r="H30" s="72">
        <v>225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6" x14ac:dyDescent="0.25">
      <c r="A31" s="1"/>
      <c r="B31" s="130">
        <v>32</v>
      </c>
      <c r="C31" s="150" t="s">
        <v>2319</v>
      </c>
      <c r="D31" s="133">
        <v>146</v>
      </c>
      <c r="E31" s="133">
        <v>437</v>
      </c>
      <c r="F31" s="23" t="s">
        <v>2320</v>
      </c>
      <c r="G31" s="132">
        <v>118</v>
      </c>
      <c r="H31" s="72">
        <v>354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6" x14ac:dyDescent="0.25">
      <c r="A32" s="1"/>
      <c r="B32" s="130">
        <v>40</v>
      </c>
      <c r="C32" s="150" t="s">
        <v>2321</v>
      </c>
      <c r="D32" s="133">
        <v>234</v>
      </c>
      <c r="E32" s="152">
        <v>703</v>
      </c>
      <c r="F32" s="23" t="s">
        <v>2322</v>
      </c>
      <c r="G32" s="132">
        <v>188</v>
      </c>
      <c r="H32" s="72">
        <v>564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6" x14ac:dyDescent="0.25">
      <c r="A33" s="1"/>
      <c r="B33" s="130">
        <v>50</v>
      </c>
      <c r="C33" s="150" t="s">
        <v>2323</v>
      </c>
      <c r="D33" s="133">
        <v>380</v>
      </c>
      <c r="E33" s="152">
        <v>1140</v>
      </c>
      <c r="F33" s="23" t="s">
        <v>2324</v>
      </c>
      <c r="G33" s="132">
        <v>305</v>
      </c>
      <c r="H33" s="72">
        <v>915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6" x14ac:dyDescent="0.25">
      <c r="A34" s="1"/>
      <c r="B34" s="130">
        <v>63</v>
      </c>
      <c r="C34" s="150" t="s">
        <v>2325</v>
      </c>
      <c r="D34" s="133">
        <v>546</v>
      </c>
      <c r="E34" s="152">
        <v>1638</v>
      </c>
      <c r="F34" s="23" t="s">
        <v>2326</v>
      </c>
      <c r="G34" s="132"/>
      <c r="H34" s="7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6" x14ac:dyDescent="0.25">
      <c r="A35" s="1"/>
      <c r="B35" s="130">
        <v>75</v>
      </c>
      <c r="C35" s="150" t="s">
        <v>2327</v>
      </c>
      <c r="D35" s="152">
        <v>696</v>
      </c>
      <c r="E35" s="152">
        <v>2089</v>
      </c>
      <c r="F35" s="23" t="s">
        <v>2328</v>
      </c>
      <c r="G35" s="132"/>
      <c r="H35" s="7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6" x14ac:dyDescent="0.25">
      <c r="A36" s="1"/>
      <c r="B36" s="130">
        <v>90</v>
      </c>
      <c r="C36" s="150" t="s">
        <v>2329</v>
      </c>
      <c r="D36" s="152">
        <v>1024</v>
      </c>
      <c r="E36" s="152">
        <v>3072</v>
      </c>
      <c r="F36" s="23" t="s">
        <v>2330</v>
      </c>
      <c r="G36" s="132"/>
      <c r="H36" s="7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6" x14ac:dyDescent="0.25">
      <c r="A37" s="1"/>
      <c r="B37" s="130">
        <v>110</v>
      </c>
      <c r="C37" s="150" t="s">
        <v>2331</v>
      </c>
      <c r="D37" s="152">
        <v>1498</v>
      </c>
      <c r="E37" s="152">
        <v>4494</v>
      </c>
      <c r="F37" s="23" t="s">
        <v>2332</v>
      </c>
      <c r="G37" s="132"/>
      <c r="H37" s="7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6" x14ac:dyDescent="0.25">
      <c r="A38" s="1"/>
      <c r="B38" s="130">
        <v>160</v>
      </c>
      <c r="C38" s="150" t="s">
        <v>2333</v>
      </c>
      <c r="D38" s="133">
        <v>3438</v>
      </c>
      <c r="E38" s="133">
        <v>10313</v>
      </c>
      <c r="F38" s="23" t="s">
        <v>2334</v>
      </c>
      <c r="G38" s="132"/>
      <c r="H38" s="7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6" x14ac:dyDescent="0.25">
      <c r="A39" s="1"/>
      <c r="B39" s="130">
        <v>200</v>
      </c>
      <c r="C39" s="150" t="s">
        <v>2335</v>
      </c>
      <c r="D39" s="133">
        <v>6396</v>
      </c>
      <c r="E39" s="133">
        <v>19188</v>
      </c>
      <c r="F39" s="23" t="s">
        <v>2336</v>
      </c>
      <c r="G39" s="154"/>
      <c r="H39" s="7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26"/>
      <c r="C40" s="1"/>
      <c r="D40" s="1"/>
      <c r="E40" s="1"/>
      <c r="F40" s="16"/>
      <c r="G40" s="1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26"/>
      <c r="C41" s="1"/>
      <c r="D41" s="1"/>
      <c r="E41" s="1"/>
      <c r="F41" s="16"/>
      <c r="G41" s="1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26"/>
      <c r="C42" s="1"/>
      <c r="D42" s="1"/>
      <c r="E42" s="1"/>
      <c r="F42" s="16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26"/>
      <c r="C43" s="1"/>
      <c r="D43" s="1"/>
      <c r="E43" s="1"/>
      <c r="F43" s="16"/>
      <c r="G43" s="1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26"/>
      <c r="C44" s="1"/>
      <c r="D44" s="1"/>
      <c r="E44" s="1"/>
      <c r="F44" s="16"/>
      <c r="G44" s="1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26"/>
      <c r="C45" s="1"/>
      <c r="D45" s="1"/>
      <c r="E45" s="1"/>
      <c r="F45" s="16"/>
      <c r="G45" s="1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26"/>
      <c r="C46" s="1"/>
      <c r="D46" s="1"/>
      <c r="E46" s="1"/>
      <c r="F46" s="16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26"/>
      <c r="C47" s="1"/>
      <c r="D47" s="1"/>
      <c r="E47" s="1"/>
      <c r="F47" s="16"/>
      <c r="G47" s="1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26"/>
      <c r="C48" s="1"/>
      <c r="D48" s="1"/>
      <c r="E48" s="1"/>
      <c r="F48" s="16"/>
      <c r="G48" s="1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26"/>
      <c r="C49" s="1"/>
      <c r="D49" s="1"/>
      <c r="E49" s="1"/>
      <c r="F49" s="16"/>
      <c r="G49" s="1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26"/>
      <c r="C50" s="1"/>
      <c r="D50" s="1"/>
      <c r="E50" s="1"/>
      <c r="F50" s="16"/>
      <c r="G50" s="1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26"/>
      <c r="C51" s="1"/>
      <c r="D51" s="1"/>
      <c r="E51" s="1"/>
      <c r="F51" s="16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26"/>
      <c r="C52" s="1"/>
      <c r="D52" s="1"/>
      <c r="E52" s="1"/>
      <c r="F52" s="16"/>
      <c r="G52" s="1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26"/>
      <c r="C53" s="1"/>
      <c r="D53" s="1"/>
      <c r="E53" s="1"/>
      <c r="F53" s="16"/>
      <c r="G53" s="1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26"/>
      <c r="C54" s="1"/>
      <c r="D54" s="1"/>
      <c r="E54" s="1"/>
      <c r="F54" s="16"/>
      <c r="G54" s="1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26"/>
      <c r="C55" s="1"/>
      <c r="D55" s="1"/>
      <c r="E55" s="1"/>
      <c r="F55" s="16"/>
      <c r="G55" s="1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26"/>
      <c r="C56" s="1"/>
      <c r="D56" s="1"/>
      <c r="E56" s="1"/>
      <c r="F56" s="16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26"/>
      <c r="C57" s="1"/>
      <c r="D57" s="1"/>
      <c r="E57" s="1"/>
      <c r="F57" s="16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26"/>
      <c r="C58" s="1"/>
      <c r="D58" s="1"/>
      <c r="E58" s="1"/>
      <c r="F58" s="16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26"/>
      <c r="C59" s="1"/>
      <c r="D59" s="1"/>
      <c r="E59" s="1"/>
      <c r="F59" s="16"/>
      <c r="G59" s="1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26"/>
      <c r="C60" s="1"/>
      <c r="D60" s="1"/>
      <c r="E60" s="1"/>
      <c r="F60" s="16"/>
      <c r="G60" s="1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26"/>
      <c r="C61" s="1"/>
      <c r="D61" s="1"/>
      <c r="E61" s="1"/>
      <c r="F61" s="16"/>
      <c r="G61" s="1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26"/>
      <c r="C62" s="1"/>
      <c r="D62" s="1"/>
      <c r="E62" s="1"/>
      <c r="F62" s="16"/>
      <c r="G62" s="1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26"/>
      <c r="C63" s="1"/>
      <c r="D63" s="1"/>
      <c r="E63" s="1"/>
      <c r="F63" s="16"/>
      <c r="G63" s="1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26"/>
      <c r="C64" s="1"/>
      <c r="D64" s="1"/>
      <c r="E64" s="1"/>
      <c r="F64" s="16"/>
      <c r="G64" s="1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26"/>
      <c r="C65" s="1"/>
      <c r="D65" s="1"/>
      <c r="E65" s="1"/>
      <c r="F65" s="16"/>
      <c r="G65" s="1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26"/>
      <c r="C66" s="1"/>
      <c r="D66" s="1"/>
      <c r="E66" s="1"/>
      <c r="F66" s="16"/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26"/>
      <c r="C67" s="1"/>
      <c r="D67" s="1"/>
      <c r="E67" s="1"/>
      <c r="F67" s="16"/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26"/>
      <c r="C68" s="1"/>
      <c r="D68" s="1"/>
      <c r="E68" s="1"/>
      <c r="F68" s="16"/>
      <c r="G68" s="1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26"/>
      <c r="C69" s="1"/>
      <c r="D69" s="1"/>
      <c r="E69" s="1"/>
      <c r="F69" s="16"/>
      <c r="G69" s="1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26"/>
      <c r="C70" s="1"/>
      <c r="D70" s="1"/>
      <c r="E70" s="1"/>
      <c r="F70" s="16"/>
      <c r="G70" s="1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26"/>
      <c r="C71" s="1"/>
      <c r="D71" s="1"/>
      <c r="E71" s="1"/>
      <c r="F71" s="16"/>
      <c r="G71" s="1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26"/>
      <c r="C72" s="1"/>
      <c r="D72" s="1"/>
      <c r="E72" s="1"/>
      <c r="F72" s="16"/>
      <c r="G72" s="1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26"/>
      <c r="C73" s="1"/>
      <c r="D73" s="1"/>
      <c r="E73" s="1"/>
      <c r="F73" s="16"/>
      <c r="G73" s="1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26"/>
      <c r="C74" s="1"/>
      <c r="D74" s="1"/>
      <c r="E74" s="1"/>
      <c r="F74" s="16"/>
      <c r="G74" s="1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26"/>
      <c r="C75" s="1"/>
      <c r="D75" s="1"/>
      <c r="E75" s="1"/>
      <c r="F75" s="16"/>
      <c r="G75" s="1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26"/>
      <c r="C76" s="1"/>
      <c r="D76" s="1"/>
      <c r="E76" s="1"/>
      <c r="F76" s="16"/>
      <c r="G76" s="1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26"/>
      <c r="C77" s="1"/>
      <c r="D77" s="1"/>
      <c r="E77" s="1"/>
      <c r="F77" s="16"/>
      <c r="G77" s="1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26"/>
      <c r="C78" s="1"/>
      <c r="D78" s="1"/>
      <c r="E78" s="1"/>
      <c r="F78" s="16"/>
      <c r="G78" s="1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26"/>
      <c r="C79" s="1"/>
      <c r="D79" s="1"/>
      <c r="E79" s="1"/>
      <c r="F79" s="16"/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26"/>
      <c r="C80" s="1"/>
      <c r="D80" s="1"/>
      <c r="E80" s="1"/>
      <c r="F80" s="16"/>
      <c r="G80" s="1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26"/>
      <c r="C81" s="1"/>
      <c r="D81" s="1"/>
      <c r="E81" s="1"/>
      <c r="F81" s="16"/>
      <c r="G81" s="1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26"/>
      <c r="C82" s="1"/>
      <c r="D82" s="1"/>
      <c r="E82" s="1"/>
      <c r="F82" s="16"/>
      <c r="G82" s="1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26"/>
      <c r="C83" s="1"/>
      <c r="D83" s="1"/>
      <c r="E83" s="1"/>
      <c r="F83" s="16"/>
      <c r="G83" s="1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26"/>
      <c r="C84" s="1"/>
      <c r="D84" s="1"/>
      <c r="E84" s="1"/>
      <c r="F84" s="16"/>
      <c r="G84" s="1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26"/>
      <c r="C85" s="1"/>
      <c r="D85" s="1"/>
      <c r="E85" s="1"/>
      <c r="F85" s="16"/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26"/>
      <c r="C86" s="1"/>
      <c r="D86" s="1"/>
      <c r="E86" s="1"/>
      <c r="F86" s="16"/>
      <c r="G86" s="1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26"/>
      <c r="C87" s="1"/>
      <c r="D87" s="1"/>
      <c r="E87" s="1"/>
      <c r="F87" s="16"/>
      <c r="G87" s="1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26"/>
      <c r="C88" s="1"/>
      <c r="D88" s="1"/>
      <c r="E88" s="1"/>
      <c r="F88" s="16"/>
      <c r="G88" s="1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26"/>
      <c r="C89" s="1"/>
      <c r="D89" s="1"/>
      <c r="E89" s="1"/>
      <c r="F89" s="16"/>
      <c r="G89" s="1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26"/>
      <c r="C90" s="1"/>
      <c r="D90" s="1"/>
      <c r="E90" s="1"/>
      <c r="F90" s="16"/>
      <c r="G90" s="1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26"/>
      <c r="C91" s="1"/>
      <c r="D91" s="1"/>
      <c r="E91" s="1"/>
      <c r="F91" s="16"/>
      <c r="G91" s="1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26"/>
      <c r="C92" s="1"/>
      <c r="D92" s="1"/>
      <c r="E92" s="1"/>
      <c r="F92" s="16"/>
      <c r="G92" s="1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26"/>
      <c r="C93" s="1"/>
      <c r="D93" s="1"/>
      <c r="E93" s="1"/>
      <c r="F93" s="16"/>
      <c r="G93" s="1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26"/>
      <c r="C94" s="1"/>
      <c r="D94" s="1"/>
      <c r="E94" s="1"/>
      <c r="F94" s="16"/>
      <c r="G94" s="1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26"/>
      <c r="C95" s="1"/>
      <c r="D95" s="1"/>
      <c r="E95" s="1"/>
      <c r="F95" s="16"/>
      <c r="G95" s="1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26"/>
      <c r="C96" s="1"/>
      <c r="D96" s="1"/>
      <c r="E96" s="1"/>
      <c r="F96" s="16"/>
      <c r="G96" s="1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26"/>
      <c r="C97" s="1"/>
      <c r="D97" s="1"/>
      <c r="E97" s="1"/>
      <c r="F97" s="16"/>
      <c r="G97" s="1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26"/>
      <c r="C98" s="1"/>
      <c r="D98" s="1"/>
      <c r="E98" s="1"/>
      <c r="F98" s="16"/>
      <c r="G98" s="1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26"/>
      <c r="C99" s="1"/>
      <c r="D99" s="1"/>
      <c r="E99" s="1"/>
      <c r="F99" s="16"/>
      <c r="G99" s="1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26"/>
      <c r="C100" s="1"/>
      <c r="D100" s="1"/>
      <c r="E100" s="1"/>
      <c r="F100" s="16"/>
      <c r="G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26"/>
      <c r="C101" s="1"/>
      <c r="D101" s="1"/>
      <c r="E101" s="1"/>
      <c r="F101" s="16"/>
      <c r="G101" s="1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26"/>
      <c r="C102" s="1"/>
      <c r="D102" s="1"/>
      <c r="E102" s="1"/>
      <c r="F102" s="16"/>
      <c r="G102" s="1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26"/>
      <c r="C103" s="1"/>
      <c r="D103" s="1"/>
      <c r="E103" s="1"/>
      <c r="F103" s="16"/>
      <c r="G103" s="1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26"/>
      <c r="C104" s="1"/>
      <c r="D104" s="1"/>
      <c r="E104" s="1"/>
      <c r="F104" s="16"/>
      <c r="G104" s="1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26"/>
      <c r="C105" s="1"/>
      <c r="D105" s="1"/>
      <c r="E105" s="1"/>
      <c r="F105" s="16"/>
      <c r="G105" s="1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26"/>
      <c r="C106" s="1"/>
      <c r="D106" s="1"/>
      <c r="E106" s="1"/>
      <c r="F106" s="16"/>
      <c r="G106" s="1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26"/>
      <c r="C107" s="1"/>
      <c r="D107" s="1"/>
      <c r="E107" s="1"/>
      <c r="F107" s="16"/>
      <c r="G107" s="1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26"/>
      <c r="C108" s="1"/>
      <c r="D108" s="1"/>
      <c r="E108" s="1"/>
      <c r="F108" s="16"/>
      <c r="G108" s="1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26"/>
      <c r="C109" s="1"/>
      <c r="D109" s="1"/>
      <c r="E109" s="1"/>
      <c r="F109" s="16"/>
      <c r="G109" s="1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26"/>
      <c r="C110" s="1"/>
      <c r="D110" s="1"/>
      <c r="E110" s="1"/>
      <c r="F110" s="16"/>
      <c r="G110" s="1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26"/>
      <c r="C111" s="1"/>
      <c r="D111" s="1"/>
      <c r="E111" s="1"/>
      <c r="F111" s="16"/>
      <c r="G111" s="1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26"/>
      <c r="C112" s="1"/>
      <c r="D112" s="1"/>
      <c r="E112" s="1"/>
      <c r="F112" s="16"/>
      <c r="G112" s="1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26"/>
      <c r="C113" s="1"/>
      <c r="D113" s="1"/>
      <c r="E113" s="1"/>
      <c r="F113" s="16"/>
      <c r="G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26"/>
      <c r="C114" s="1"/>
      <c r="D114" s="1"/>
      <c r="E114" s="1"/>
      <c r="F114" s="16"/>
      <c r="G114" s="1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26"/>
      <c r="C115" s="1"/>
      <c r="D115" s="1"/>
      <c r="E115" s="1"/>
      <c r="F115" s="16"/>
      <c r="G115" s="1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26"/>
      <c r="C116" s="1"/>
      <c r="D116" s="1"/>
      <c r="E116" s="1"/>
      <c r="F116" s="16"/>
      <c r="G116" s="1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26"/>
      <c r="C117" s="1"/>
      <c r="D117" s="1"/>
      <c r="E117" s="1"/>
      <c r="F117" s="16"/>
      <c r="G117" s="1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26"/>
      <c r="C118" s="1"/>
      <c r="D118" s="1"/>
      <c r="E118" s="1"/>
      <c r="F118" s="16"/>
      <c r="G118" s="1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26"/>
      <c r="C119" s="1"/>
      <c r="D119" s="1"/>
      <c r="E119" s="1"/>
      <c r="F119" s="16"/>
      <c r="G119" s="1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26"/>
      <c r="C120" s="1"/>
      <c r="D120" s="1"/>
      <c r="E120" s="1"/>
      <c r="F120" s="16"/>
      <c r="G120" s="1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26"/>
      <c r="C121" s="1"/>
      <c r="D121" s="1"/>
      <c r="E121" s="1"/>
      <c r="F121" s="16"/>
      <c r="G121" s="1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26"/>
      <c r="C122" s="1"/>
      <c r="D122" s="1"/>
      <c r="E122" s="1"/>
      <c r="F122" s="16"/>
      <c r="G122" s="1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26"/>
      <c r="C123" s="1"/>
      <c r="D123" s="1"/>
      <c r="E123" s="1"/>
      <c r="F123" s="16"/>
      <c r="G123" s="1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26"/>
      <c r="C124" s="1"/>
      <c r="D124" s="1"/>
      <c r="E124" s="1"/>
      <c r="F124" s="16"/>
      <c r="G124" s="1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26"/>
      <c r="C125" s="1"/>
      <c r="D125" s="1"/>
      <c r="E125" s="1"/>
      <c r="F125" s="16"/>
      <c r="G125" s="1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26"/>
      <c r="C126" s="1"/>
      <c r="D126" s="1"/>
      <c r="E126" s="1"/>
      <c r="F126" s="16"/>
      <c r="G126" s="1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26"/>
      <c r="C127" s="1"/>
      <c r="D127" s="1"/>
      <c r="E127" s="1"/>
      <c r="F127" s="16"/>
      <c r="G127" s="1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26"/>
      <c r="C128" s="1"/>
      <c r="D128" s="1"/>
      <c r="E128" s="1"/>
      <c r="F128" s="16"/>
      <c r="G128" s="1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26"/>
      <c r="C129" s="1"/>
      <c r="D129" s="1"/>
      <c r="E129" s="1"/>
      <c r="F129" s="16"/>
      <c r="G129" s="1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26"/>
      <c r="C130" s="1"/>
      <c r="D130" s="1"/>
      <c r="E130" s="1"/>
      <c r="F130" s="16"/>
      <c r="G130" s="1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26"/>
      <c r="C131" s="1"/>
      <c r="D131" s="1"/>
      <c r="E131" s="1"/>
      <c r="F131" s="16"/>
      <c r="G131" s="1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26"/>
      <c r="C132" s="1"/>
      <c r="D132" s="1"/>
      <c r="E132" s="1"/>
      <c r="F132" s="16"/>
      <c r="G132" s="1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26"/>
      <c r="C133" s="1"/>
      <c r="D133" s="1"/>
      <c r="E133" s="1"/>
      <c r="F133" s="16"/>
      <c r="G133" s="1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26"/>
      <c r="C134" s="1"/>
      <c r="D134" s="1"/>
      <c r="E134" s="1"/>
      <c r="F134" s="16"/>
      <c r="G134" s="1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26"/>
      <c r="C135" s="1"/>
      <c r="D135" s="1"/>
      <c r="E135" s="1"/>
      <c r="F135" s="16"/>
      <c r="G135" s="1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26"/>
      <c r="C136" s="1"/>
      <c r="D136" s="1"/>
      <c r="E136" s="1"/>
      <c r="F136" s="16"/>
      <c r="G136" s="1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26"/>
      <c r="C137" s="1"/>
      <c r="D137" s="1"/>
      <c r="E137" s="1"/>
      <c r="F137" s="16"/>
      <c r="G137" s="1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26"/>
      <c r="C138" s="1"/>
      <c r="D138" s="1"/>
      <c r="E138" s="1"/>
      <c r="F138" s="16"/>
      <c r="G138" s="1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26"/>
      <c r="C139" s="1"/>
      <c r="D139" s="1"/>
      <c r="E139" s="1"/>
      <c r="F139" s="16"/>
      <c r="G139" s="1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26"/>
      <c r="C140" s="1"/>
      <c r="D140" s="1"/>
      <c r="E140" s="1"/>
      <c r="F140" s="16"/>
      <c r="G140" s="1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26"/>
      <c r="C141" s="1"/>
      <c r="D141" s="1"/>
      <c r="E141" s="1"/>
      <c r="F141" s="16"/>
      <c r="G141" s="1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26"/>
      <c r="C142" s="1"/>
      <c r="D142" s="1"/>
      <c r="E142" s="1"/>
      <c r="F142" s="16"/>
      <c r="G142" s="1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26"/>
      <c r="C143" s="1"/>
      <c r="D143" s="1"/>
      <c r="E143" s="1"/>
      <c r="F143" s="16"/>
      <c r="G143" s="1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26"/>
      <c r="C144" s="1"/>
      <c r="D144" s="1"/>
      <c r="E144" s="1"/>
      <c r="F144" s="16"/>
      <c r="G144" s="1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26"/>
      <c r="C145" s="1"/>
      <c r="D145" s="1"/>
      <c r="E145" s="1"/>
      <c r="F145" s="16"/>
      <c r="G145" s="1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26"/>
      <c r="C146" s="1"/>
      <c r="D146" s="1"/>
      <c r="E146" s="1"/>
      <c r="F146" s="16"/>
      <c r="G146" s="1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26"/>
      <c r="C147" s="1"/>
      <c r="D147" s="1"/>
      <c r="E147" s="1"/>
      <c r="F147" s="16"/>
      <c r="G147" s="1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26"/>
      <c r="C148" s="1"/>
      <c r="D148" s="1"/>
      <c r="E148" s="1"/>
      <c r="F148" s="16"/>
      <c r="G148" s="1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26"/>
      <c r="C149" s="1"/>
      <c r="D149" s="1"/>
      <c r="E149" s="1"/>
      <c r="F149" s="16"/>
      <c r="G149" s="1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26"/>
      <c r="C150" s="1"/>
      <c r="D150" s="1"/>
      <c r="E150" s="1"/>
      <c r="F150" s="16"/>
      <c r="G150" s="1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26"/>
      <c r="C151" s="1"/>
      <c r="D151" s="1"/>
      <c r="E151" s="1"/>
      <c r="F151" s="16"/>
      <c r="G151" s="1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26"/>
      <c r="C152" s="1"/>
      <c r="D152" s="1"/>
      <c r="E152" s="1"/>
      <c r="F152" s="16"/>
      <c r="G152" s="1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26"/>
      <c r="C153" s="1"/>
      <c r="D153" s="1"/>
      <c r="E153" s="1"/>
      <c r="F153" s="16"/>
      <c r="G153" s="1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26"/>
      <c r="C154" s="1"/>
      <c r="D154" s="1"/>
      <c r="E154" s="1"/>
      <c r="F154" s="16"/>
      <c r="G154" s="1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26"/>
      <c r="C155" s="1"/>
      <c r="D155" s="1"/>
      <c r="E155" s="1"/>
      <c r="F155" s="16"/>
      <c r="G155" s="1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26"/>
      <c r="C156" s="1"/>
      <c r="D156" s="1"/>
      <c r="E156" s="1"/>
      <c r="F156" s="16"/>
      <c r="G156" s="1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26"/>
      <c r="C157" s="1"/>
      <c r="D157" s="1"/>
      <c r="E157" s="1"/>
      <c r="F157" s="16"/>
      <c r="G157" s="1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26"/>
      <c r="C158" s="1"/>
      <c r="D158" s="1"/>
      <c r="E158" s="1"/>
      <c r="F158" s="16"/>
      <c r="G158" s="1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26"/>
      <c r="C159" s="1"/>
      <c r="D159" s="1"/>
      <c r="E159" s="1"/>
      <c r="F159" s="16"/>
      <c r="G159" s="1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26"/>
      <c r="C160" s="1"/>
      <c r="D160" s="1"/>
      <c r="E160" s="1"/>
      <c r="F160" s="16"/>
      <c r="G160" s="1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26"/>
      <c r="C161" s="1"/>
      <c r="D161" s="1"/>
      <c r="E161" s="1"/>
      <c r="F161" s="16"/>
      <c r="G161" s="1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26"/>
      <c r="C162" s="1"/>
      <c r="D162" s="1"/>
      <c r="E162" s="1"/>
      <c r="F162" s="16"/>
      <c r="G162" s="1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26"/>
      <c r="C163" s="1"/>
      <c r="D163" s="1"/>
      <c r="E163" s="1"/>
      <c r="F163" s="16"/>
      <c r="G163" s="1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26"/>
      <c r="C164" s="1"/>
      <c r="D164" s="1"/>
      <c r="E164" s="1"/>
      <c r="F164" s="16"/>
      <c r="G164" s="1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26"/>
      <c r="C165" s="1"/>
      <c r="D165" s="1"/>
      <c r="E165" s="1"/>
      <c r="F165" s="16"/>
      <c r="G165" s="1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26"/>
      <c r="C166" s="1"/>
      <c r="D166" s="1"/>
      <c r="E166" s="1"/>
      <c r="F166" s="16"/>
      <c r="G166" s="1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26"/>
      <c r="C167" s="1"/>
      <c r="D167" s="1"/>
      <c r="E167" s="1"/>
      <c r="F167" s="16"/>
      <c r="G167" s="1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26"/>
      <c r="C168" s="1"/>
      <c r="D168" s="1"/>
      <c r="E168" s="1"/>
      <c r="F168" s="16"/>
      <c r="G168" s="1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26"/>
      <c r="C169" s="1"/>
      <c r="D169" s="1"/>
      <c r="E169" s="1"/>
      <c r="F169" s="16"/>
      <c r="G169" s="1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26"/>
      <c r="C170" s="1"/>
      <c r="D170" s="1"/>
      <c r="E170" s="1"/>
      <c r="F170" s="16"/>
      <c r="G170" s="1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26"/>
      <c r="C171" s="1"/>
      <c r="D171" s="1"/>
      <c r="E171" s="1"/>
      <c r="F171" s="16"/>
      <c r="G171" s="1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26"/>
      <c r="C172" s="1"/>
      <c r="D172" s="1"/>
      <c r="E172" s="1"/>
      <c r="F172" s="16"/>
      <c r="G172" s="1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26"/>
      <c r="C173" s="1"/>
      <c r="D173" s="1"/>
      <c r="E173" s="1"/>
      <c r="F173" s="16"/>
      <c r="G173" s="1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26"/>
      <c r="C174" s="1"/>
      <c r="D174" s="1"/>
      <c r="E174" s="1"/>
      <c r="F174" s="16"/>
      <c r="G174" s="1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26"/>
      <c r="C175" s="1"/>
      <c r="D175" s="1"/>
      <c r="E175" s="1"/>
      <c r="F175" s="16"/>
      <c r="G175" s="1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26"/>
      <c r="C176" s="1"/>
      <c r="D176" s="1"/>
      <c r="E176" s="1"/>
      <c r="F176" s="16"/>
      <c r="G176" s="1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26"/>
      <c r="C177" s="1"/>
      <c r="D177" s="1"/>
      <c r="E177" s="1"/>
      <c r="F177" s="16"/>
      <c r="G177" s="1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26"/>
      <c r="C178" s="1"/>
      <c r="D178" s="1"/>
      <c r="E178" s="1"/>
      <c r="F178" s="16"/>
      <c r="G178" s="1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26"/>
      <c r="C179" s="1"/>
      <c r="D179" s="1"/>
      <c r="E179" s="1"/>
      <c r="F179" s="16"/>
      <c r="G179" s="1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26"/>
      <c r="C180" s="1"/>
      <c r="D180" s="1"/>
      <c r="E180" s="1"/>
      <c r="F180" s="16"/>
      <c r="G180" s="1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26"/>
      <c r="C181" s="1"/>
      <c r="D181" s="1"/>
      <c r="E181" s="1"/>
      <c r="F181" s="16"/>
      <c r="G181" s="1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26"/>
      <c r="C182" s="1"/>
      <c r="D182" s="1"/>
      <c r="E182" s="1"/>
      <c r="F182" s="16"/>
      <c r="G182" s="1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26"/>
      <c r="C183" s="1"/>
      <c r="D183" s="1"/>
      <c r="E183" s="1"/>
      <c r="F183" s="16"/>
      <c r="G183" s="1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26"/>
      <c r="C184" s="1"/>
      <c r="D184" s="1"/>
      <c r="E184" s="1"/>
      <c r="F184" s="16"/>
      <c r="G184" s="1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26"/>
      <c r="C185" s="1"/>
      <c r="D185" s="1"/>
      <c r="E185" s="1"/>
      <c r="F185" s="16"/>
      <c r="G185" s="1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26"/>
      <c r="C186" s="1"/>
      <c r="D186" s="1"/>
      <c r="E186" s="1"/>
      <c r="F186" s="16"/>
      <c r="G186" s="1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26"/>
      <c r="C187" s="1"/>
      <c r="D187" s="1"/>
      <c r="E187" s="1"/>
      <c r="F187" s="16"/>
      <c r="G187" s="1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26"/>
      <c r="C188" s="1"/>
      <c r="D188" s="1"/>
      <c r="E188" s="1"/>
      <c r="F188" s="16"/>
      <c r="G188" s="1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26"/>
      <c r="C189" s="1"/>
      <c r="D189" s="1"/>
      <c r="E189" s="1"/>
      <c r="F189" s="16"/>
      <c r="G189" s="1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26"/>
      <c r="C190" s="1"/>
      <c r="D190" s="1"/>
      <c r="E190" s="1"/>
      <c r="F190" s="16"/>
      <c r="G190" s="1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26"/>
      <c r="C191" s="1"/>
      <c r="D191" s="1"/>
      <c r="E191" s="1"/>
      <c r="F191" s="16"/>
      <c r="G191" s="1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26"/>
      <c r="C192" s="1"/>
      <c r="D192" s="1"/>
      <c r="E192" s="1"/>
      <c r="F192" s="16"/>
      <c r="G192" s="1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26"/>
      <c r="C193" s="1"/>
      <c r="D193" s="1"/>
      <c r="E193" s="1"/>
      <c r="F193" s="16"/>
      <c r="G193" s="1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26"/>
      <c r="C194" s="1"/>
      <c r="D194" s="1"/>
      <c r="E194" s="1"/>
      <c r="F194" s="16"/>
      <c r="G194" s="1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26"/>
      <c r="C195" s="1"/>
      <c r="D195" s="1"/>
      <c r="E195" s="1"/>
      <c r="F195" s="16"/>
      <c r="G195" s="1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26"/>
      <c r="C196" s="1"/>
      <c r="D196" s="1"/>
      <c r="E196" s="1"/>
      <c r="F196" s="16"/>
      <c r="G196" s="1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26"/>
      <c r="C197" s="1"/>
      <c r="D197" s="1"/>
      <c r="E197" s="1"/>
      <c r="F197" s="16"/>
      <c r="G197" s="1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26"/>
      <c r="C198" s="1"/>
      <c r="D198" s="1"/>
      <c r="E198" s="1"/>
      <c r="F198" s="16"/>
      <c r="G198" s="1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26"/>
      <c r="C199" s="1"/>
      <c r="D199" s="1"/>
      <c r="E199" s="1"/>
      <c r="F199" s="16"/>
      <c r="G199" s="1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26"/>
      <c r="C200" s="1"/>
      <c r="D200" s="1"/>
      <c r="E200" s="1"/>
      <c r="F200" s="16"/>
      <c r="G200" s="1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26"/>
      <c r="C201" s="1"/>
      <c r="D201" s="1"/>
      <c r="E201" s="1"/>
      <c r="F201" s="16"/>
      <c r="G201" s="1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26"/>
      <c r="C202" s="1"/>
      <c r="D202" s="1"/>
      <c r="E202" s="1"/>
      <c r="F202" s="16"/>
      <c r="G202" s="1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26"/>
      <c r="C203" s="1"/>
      <c r="D203" s="1"/>
      <c r="E203" s="1"/>
      <c r="F203" s="16"/>
      <c r="G203" s="1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26"/>
      <c r="C204" s="1"/>
      <c r="D204" s="1"/>
      <c r="E204" s="1"/>
      <c r="F204" s="16"/>
      <c r="G204" s="1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26"/>
      <c r="C205" s="1"/>
      <c r="D205" s="1"/>
      <c r="E205" s="1"/>
      <c r="F205" s="16"/>
      <c r="G205" s="1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26"/>
      <c r="C206" s="1"/>
      <c r="D206" s="1"/>
      <c r="E206" s="1"/>
      <c r="F206" s="16"/>
      <c r="G206" s="1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26"/>
      <c r="C207" s="1"/>
      <c r="D207" s="1"/>
      <c r="E207" s="1"/>
      <c r="F207" s="16"/>
      <c r="G207" s="1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26"/>
      <c r="C208" s="1"/>
      <c r="D208" s="1"/>
      <c r="E208" s="1"/>
      <c r="F208" s="16"/>
      <c r="G208" s="1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26"/>
      <c r="C209" s="1"/>
      <c r="D209" s="1"/>
      <c r="E209" s="1"/>
      <c r="F209" s="16"/>
      <c r="G209" s="1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26"/>
      <c r="C210" s="1"/>
      <c r="D210" s="1"/>
      <c r="E210" s="1"/>
      <c r="F210" s="16"/>
      <c r="G210" s="1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26"/>
      <c r="C211" s="1"/>
      <c r="D211" s="1"/>
      <c r="E211" s="1"/>
      <c r="F211" s="16"/>
      <c r="G211" s="1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26"/>
      <c r="C212" s="1"/>
      <c r="D212" s="1"/>
      <c r="E212" s="1"/>
      <c r="F212" s="16"/>
      <c r="G212" s="1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26"/>
      <c r="C213" s="1"/>
      <c r="D213" s="1"/>
      <c r="E213" s="1"/>
      <c r="F213" s="16"/>
      <c r="G213" s="1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26"/>
      <c r="C214" s="1"/>
      <c r="D214" s="1"/>
      <c r="E214" s="1"/>
      <c r="F214" s="16"/>
      <c r="G214" s="1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26"/>
      <c r="C215" s="1"/>
      <c r="D215" s="1"/>
      <c r="E215" s="1"/>
      <c r="F215" s="16"/>
      <c r="G215" s="1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26"/>
      <c r="C216" s="1"/>
      <c r="D216" s="1"/>
      <c r="E216" s="1"/>
      <c r="F216" s="16"/>
      <c r="G216" s="1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26"/>
      <c r="C217" s="1"/>
      <c r="D217" s="1"/>
      <c r="E217" s="1"/>
      <c r="F217" s="16"/>
      <c r="G217" s="1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26"/>
      <c r="C218" s="1"/>
      <c r="D218" s="1"/>
      <c r="E218" s="1"/>
      <c r="F218" s="16"/>
      <c r="G218" s="1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26"/>
      <c r="C219" s="1"/>
      <c r="D219" s="1"/>
      <c r="E219" s="1"/>
      <c r="F219" s="16"/>
      <c r="G219" s="1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26"/>
      <c r="C220" s="1"/>
      <c r="D220" s="1"/>
      <c r="E220" s="1"/>
      <c r="F220" s="16"/>
      <c r="G220" s="1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26"/>
      <c r="C221" s="1"/>
      <c r="D221" s="1"/>
      <c r="E221" s="1"/>
      <c r="F221" s="16"/>
      <c r="G221" s="1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26"/>
      <c r="C222" s="1"/>
      <c r="D222" s="1"/>
      <c r="E222" s="1"/>
      <c r="F222" s="16"/>
      <c r="G222" s="1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26"/>
      <c r="C223" s="1"/>
      <c r="D223" s="1"/>
      <c r="E223" s="1"/>
      <c r="F223" s="16"/>
      <c r="G223" s="1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26"/>
      <c r="C224" s="1"/>
      <c r="D224" s="1"/>
      <c r="E224" s="1"/>
      <c r="F224" s="16"/>
      <c r="G224" s="1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26"/>
      <c r="C225" s="1"/>
      <c r="D225" s="1"/>
      <c r="E225" s="1"/>
      <c r="F225" s="16"/>
      <c r="G225" s="1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26"/>
      <c r="C226" s="1"/>
      <c r="D226" s="1"/>
      <c r="E226" s="1"/>
      <c r="F226" s="16"/>
      <c r="G226" s="1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26"/>
      <c r="C227" s="1"/>
      <c r="D227" s="1"/>
      <c r="E227" s="1"/>
      <c r="F227" s="16"/>
      <c r="G227" s="1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26"/>
      <c r="C228" s="1"/>
      <c r="D228" s="1"/>
      <c r="E228" s="1"/>
      <c r="F228" s="16"/>
      <c r="G228" s="1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26"/>
      <c r="C229" s="1"/>
      <c r="D229" s="1"/>
      <c r="E229" s="1"/>
      <c r="F229" s="16"/>
      <c r="G229" s="1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26"/>
      <c r="C230" s="1"/>
      <c r="D230" s="1"/>
      <c r="E230" s="1"/>
      <c r="F230" s="16"/>
      <c r="G230" s="1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26"/>
      <c r="C231" s="1"/>
      <c r="D231" s="1"/>
      <c r="E231" s="1"/>
      <c r="F231" s="16"/>
      <c r="G231" s="1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26"/>
      <c r="C232" s="1"/>
      <c r="D232" s="1"/>
      <c r="E232" s="1"/>
      <c r="F232" s="16"/>
      <c r="G232" s="1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26"/>
      <c r="C233" s="1"/>
      <c r="D233" s="1"/>
      <c r="E233" s="1"/>
      <c r="F233" s="16"/>
      <c r="G233" s="1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26"/>
      <c r="C234" s="1"/>
      <c r="D234" s="1"/>
      <c r="E234" s="1"/>
      <c r="F234" s="16"/>
      <c r="G234" s="1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26"/>
      <c r="C235" s="1"/>
      <c r="D235" s="1"/>
      <c r="E235" s="1"/>
      <c r="F235" s="16"/>
      <c r="G235" s="1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26"/>
      <c r="C236" s="1"/>
      <c r="D236" s="1"/>
      <c r="E236" s="1"/>
      <c r="F236" s="16"/>
      <c r="G236" s="1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26"/>
      <c r="C237" s="1"/>
      <c r="D237" s="1"/>
      <c r="E237" s="1"/>
      <c r="F237" s="16"/>
      <c r="G237" s="1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26"/>
      <c r="C238" s="1"/>
      <c r="D238" s="1"/>
      <c r="E238" s="1"/>
      <c r="F238" s="16"/>
      <c r="G238" s="1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26"/>
      <c r="C239" s="1"/>
      <c r="D239" s="1"/>
      <c r="E239" s="1"/>
      <c r="F239" s="16"/>
      <c r="G239" s="1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26"/>
      <c r="C240" s="1"/>
      <c r="D240" s="1"/>
      <c r="E240" s="1"/>
      <c r="F240" s="16"/>
      <c r="G240" s="1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26"/>
      <c r="C241" s="1"/>
      <c r="D241" s="1"/>
      <c r="E241" s="1"/>
      <c r="F241" s="16"/>
      <c r="G241" s="1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26"/>
      <c r="C242" s="1"/>
      <c r="D242" s="1"/>
      <c r="E242" s="1"/>
      <c r="F242" s="16"/>
      <c r="G242" s="1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26"/>
      <c r="C243" s="1"/>
      <c r="D243" s="1"/>
      <c r="E243" s="1"/>
      <c r="F243" s="16"/>
      <c r="G243" s="1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26"/>
      <c r="C244" s="1"/>
      <c r="D244" s="1"/>
      <c r="E244" s="1"/>
      <c r="F244" s="16"/>
      <c r="G244" s="1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26"/>
      <c r="C245" s="1"/>
      <c r="D245" s="1"/>
      <c r="E245" s="1"/>
      <c r="F245" s="16"/>
      <c r="G245" s="1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26"/>
      <c r="C246" s="1"/>
      <c r="D246" s="1"/>
      <c r="E246" s="1"/>
      <c r="F246" s="16"/>
      <c r="G246" s="1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26"/>
      <c r="C247" s="1"/>
      <c r="D247" s="1"/>
      <c r="E247" s="1"/>
      <c r="F247" s="16"/>
      <c r="G247" s="1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26"/>
      <c r="C248" s="1"/>
      <c r="D248" s="1"/>
      <c r="E248" s="1"/>
      <c r="F248" s="16"/>
      <c r="G248" s="1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26"/>
      <c r="C249" s="1"/>
      <c r="D249" s="1"/>
      <c r="E249" s="1"/>
      <c r="F249" s="16"/>
      <c r="G249" s="1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26"/>
      <c r="C250" s="1"/>
      <c r="D250" s="1"/>
      <c r="E250" s="1"/>
      <c r="F250" s="16"/>
      <c r="G250" s="1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26"/>
      <c r="C251" s="1"/>
      <c r="D251" s="1"/>
      <c r="E251" s="1"/>
      <c r="F251" s="16"/>
      <c r="G251" s="1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26"/>
      <c r="C252" s="1"/>
      <c r="D252" s="1"/>
      <c r="E252" s="1"/>
      <c r="F252" s="16"/>
      <c r="G252" s="1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26"/>
      <c r="C253" s="1"/>
      <c r="D253" s="1"/>
      <c r="E253" s="1"/>
      <c r="F253" s="16"/>
      <c r="G253" s="1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26"/>
      <c r="C254" s="1"/>
      <c r="D254" s="1"/>
      <c r="E254" s="1"/>
      <c r="F254" s="16"/>
      <c r="G254" s="1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26"/>
      <c r="C255" s="1"/>
      <c r="D255" s="1"/>
      <c r="E255" s="1"/>
      <c r="F255" s="16"/>
      <c r="G255" s="1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26"/>
      <c r="C256" s="1"/>
      <c r="D256" s="1"/>
      <c r="E256" s="1"/>
      <c r="F256" s="16"/>
      <c r="G256" s="1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26"/>
      <c r="C257" s="1"/>
      <c r="D257" s="1"/>
      <c r="E257" s="1"/>
      <c r="F257" s="16"/>
      <c r="G257" s="1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26"/>
      <c r="C258" s="1"/>
      <c r="D258" s="1"/>
      <c r="E258" s="1"/>
      <c r="F258" s="16"/>
      <c r="G258" s="1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26"/>
      <c r="C259" s="1"/>
      <c r="D259" s="1"/>
      <c r="E259" s="1"/>
      <c r="F259" s="16"/>
      <c r="G259" s="1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26"/>
      <c r="C260" s="1"/>
      <c r="D260" s="1"/>
      <c r="E260" s="1"/>
      <c r="F260" s="16"/>
      <c r="G260" s="1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26"/>
      <c r="C261" s="1"/>
      <c r="D261" s="1"/>
      <c r="E261" s="1"/>
      <c r="F261" s="16"/>
      <c r="G261" s="1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26"/>
      <c r="C262" s="1"/>
      <c r="D262" s="1"/>
      <c r="E262" s="1"/>
      <c r="F262" s="16"/>
      <c r="G262" s="1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26"/>
      <c r="C263" s="1"/>
      <c r="D263" s="1"/>
      <c r="E263" s="1"/>
      <c r="F263" s="16"/>
      <c r="G263" s="1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26"/>
      <c r="C264" s="1"/>
      <c r="D264" s="1"/>
      <c r="E264" s="1"/>
      <c r="F264" s="16"/>
      <c r="G264" s="1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26"/>
      <c r="C265" s="1"/>
      <c r="D265" s="1"/>
      <c r="E265" s="1"/>
      <c r="F265" s="16"/>
      <c r="G265" s="1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26"/>
      <c r="C266" s="1"/>
      <c r="D266" s="1"/>
      <c r="E266" s="1"/>
      <c r="F266" s="16"/>
      <c r="G266" s="1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26"/>
      <c r="C267" s="1"/>
      <c r="D267" s="1"/>
      <c r="E267" s="1"/>
      <c r="F267" s="16"/>
      <c r="G267" s="1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26"/>
      <c r="C268" s="1"/>
      <c r="D268" s="1"/>
      <c r="E268" s="1"/>
      <c r="F268" s="16"/>
      <c r="G268" s="1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26"/>
      <c r="C269" s="1"/>
      <c r="D269" s="1"/>
      <c r="E269" s="1"/>
      <c r="F269" s="16"/>
      <c r="G269" s="1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26"/>
      <c r="C270" s="1"/>
      <c r="D270" s="1"/>
      <c r="E270" s="1"/>
      <c r="F270" s="16"/>
      <c r="G270" s="1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26"/>
      <c r="C271" s="1"/>
      <c r="D271" s="1"/>
      <c r="E271" s="1"/>
      <c r="F271" s="16"/>
      <c r="G271" s="1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26"/>
      <c r="C272" s="1"/>
      <c r="D272" s="1"/>
      <c r="E272" s="1"/>
      <c r="F272" s="16"/>
      <c r="G272" s="1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26"/>
      <c r="C273" s="1"/>
      <c r="D273" s="1"/>
      <c r="E273" s="1"/>
      <c r="F273" s="16"/>
      <c r="G273" s="1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26"/>
      <c r="C274" s="1"/>
      <c r="D274" s="1"/>
      <c r="E274" s="1"/>
      <c r="F274" s="16"/>
      <c r="G274" s="1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26"/>
      <c r="C275" s="1"/>
      <c r="D275" s="1"/>
      <c r="E275" s="1"/>
      <c r="F275" s="16"/>
      <c r="G275" s="1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26"/>
      <c r="C276" s="1"/>
      <c r="D276" s="1"/>
      <c r="E276" s="1"/>
      <c r="F276" s="16"/>
      <c r="G276" s="1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26"/>
      <c r="C277" s="1"/>
      <c r="D277" s="1"/>
      <c r="E277" s="1"/>
      <c r="F277" s="16"/>
      <c r="G277" s="1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26"/>
      <c r="C278" s="1"/>
      <c r="D278" s="1"/>
      <c r="E278" s="1"/>
      <c r="F278" s="16"/>
      <c r="G278" s="1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26"/>
      <c r="C279" s="1"/>
      <c r="D279" s="1"/>
      <c r="E279" s="1"/>
      <c r="F279" s="16"/>
      <c r="G279" s="1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26"/>
      <c r="C280" s="1"/>
      <c r="D280" s="1"/>
      <c r="E280" s="1"/>
      <c r="F280" s="16"/>
      <c r="G280" s="1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26"/>
      <c r="C281" s="1"/>
      <c r="D281" s="1"/>
      <c r="E281" s="1"/>
      <c r="F281" s="16"/>
      <c r="G281" s="1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26"/>
      <c r="C282" s="1"/>
      <c r="D282" s="1"/>
      <c r="E282" s="1"/>
      <c r="F282" s="16"/>
      <c r="G282" s="1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26"/>
      <c r="C283" s="1"/>
      <c r="D283" s="1"/>
      <c r="E283" s="1"/>
      <c r="F283" s="16"/>
      <c r="G283" s="1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26"/>
      <c r="C284" s="1"/>
      <c r="D284" s="1"/>
      <c r="E284" s="1"/>
      <c r="F284" s="16"/>
      <c r="G284" s="1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26"/>
      <c r="C285" s="1"/>
      <c r="D285" s="1"/>
      <c r="E285" s="1"/>
      <c r="F285" s="16"/>
      <c r="G285" s="1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26"/>
      <c r="C286" s="1"/>
      <c r="D286" s="1"/>
      <c r="E286" s="1"/>
      <c r="F286" s="16"/>
      <c r="G286" s="1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26"/>
      <c r="C287" s="1"/>
      <c r="D287" s="1"/>
      <c r="E287" s="1"/>
      <c r="F287" s="16"/>
      <c r="G287" s="1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26"/>
      <c r="C288" s="1"/>
      <c r="D288" s="1"/>
      <c r="E288" s="1"/>
      <c r="F288" s="16"/>
      <c r="G288" s="1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26"/>
      <c r="C289" s="1"/>
      <c r="D289" s="1"/>
      <c r="E289" s="1"/>
      <c r="F289" s="16"/>
      <c r="G289" s="1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26"/>
      <c r="C290" s="1"/>
      <c r="D290" s="1"/>
      <c r="E290" s="1"/>
      <c r="F290" s="16"/>
      <c r="G290" s="1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26"/>
      <c r="C291" s="1"/>
      <c r="D291" s="1"/>
      <c r="E291" s="1"/>
      <c r="F291" s="16"/>
      <c r="G291" s="1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26"/>
      <c r="C292" s="1"/>
      <c r="D292" s="1"/>
      <c r="E292" s="1"/>
      <c r="F292" s="16"/>
      <c r="G292" s="1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26"/>
      <c r="C293" s="1"/>
      <c r="D293" s="1"/>
      <c r="E293" s="1"/>
      <c r="F293" s="16"/>
      <c r="G293" s="1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26"/>
      <c r="C294" s="1"/>
      <c r="D294" s="1"/>
      <c r="E294" s="1"/>
      <c r="F294" s="16"/>
      <c r="G294" s="1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26"/>
      <c r="C295" s="1"/>
      <c r="D295" s="1"/>
      <c r="E295" s="1"/>
      <c r="F295" s="16"/>
      <c r="G295" s="1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26"/>
      <c r="C296" s="1"/>
      <c r="D296" s="1"/>
      <c r="E296" s="1"/>
      <c r="F296" s="16"/>
      <c r="G296" s="1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26"/>
      <c r="C297" s="1"/>
      <c r="D297" s="1"/>
      <c r="E297" s="1"/>
      <c r="F297" s="16"/>
      <c r="G297" s="1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26"/>
      <c r="C298" s="1"/>
      <c r="D298" s="1"/>
      <c r="E298" s="1"/>
      <c r="F298" s="16"/>
      <c r="G298" s="1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26"/>
      <c r="C299" s="1"/>
      <c r="D299" s="1"/>
      <c r="E299" s="1"/>
      <c r="F299" s="16"/>
      <c r="G299" s="1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26"/>
      <c r="C300" s="1"/>
      <c r="D300" s="1"/>
      <c r="E300" s="1"/>
      <c r="F300" s="16"/>
      <c r="G300" s="1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26"/>
      <c r="C301" s="1"/>
      <c r="D301" s="1"/>
      <c r="E301" s="1"/>
      <c r="F301" s="16"/>
      <c r="G301" s="1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26"/>
      <c r="C302" s="1"/>
      <c r="D302" s="1"/>
      <c r="E302" s="1"/>
      <c r="F302" s="16"/>
      <c r="G302" s="1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26"/>
      <c r="C303" s="1"/>
      <c r="D303" s="1"/>
      <c r="E303" s="1"/>
      <c r="F303" s="16"/>
      <c r="G303" s="1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26"/>
      <c r="C304" s="1"/>
      <c r="D304" s="1"/>
      <c r="E304" s="1"/>
      <c r="F304" s="16"/>
      <c r="G304" s="1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26"/>
      <c r="C305" s="1"/>
      <c r="D305" s="1"/>
      <c r="E305" s="1"/>
      <c r="F305" s="16"/>
      <c r="G305" s="1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26"/>
      <c r="C306" s="1"/>
      <c r="D306" s="1"/>
      <c r="E306" s="1"/>
      <c r="F306" s="16"/>
      <c r="G306" s="1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26"/>
      <c r="C307" s="1"/>
      <c r="D307" s="1"/>
      <c r="E307" s="1"/>
      <c r="F307" s="16"/>
      <c r="G307" s="1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26"/>
      <c r="C308" s="1"/>
      <c r="D308" s="1"/>
      <c r="E308" s="1"/>
      <c r="F308" s="16"/>
      <c r="G308" s="1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26"/>
      <c r="C309" s="1"/>
      <c r="D309" s="1"/>
      <c r="E309" s="1"/>
      <c r="F309" s="16"/>
      <c r="G309" s="1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26"/>
      <c r="C310" s="1"/>
      <c r="D310" s="1"/>
      <c r="E310" s="1"/>
      <c r="F310" s="16"/>
      <c r="G310" s="1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26"/>
      <c r="C311" s="1"/>
      <c r="D311" s="1"/>
      <c r="E311" s="1"/>
      <c r="F311" s="16"/>
      <c r="G311" s="1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26"/>
      <c r="C312" s="1"/>
      <c r="D312" s="1"/>
      <c r="E312" s="1"/>
      <c r="F312" s="16"/>
      <c r="G312" s="1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26"/>
      <c r="C313" s="1"/>
      <c r="D313" s="1"/>
      <c r="E313" s="1"/>
      <c r="F313" s="16"/>
      <c r="G313" s="1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26"/>
      <c r="C314" s="1"/>
      <c r="D314" s="1"/>
      <c r="E314" s="1"/>
      <c r="F314" s="16"/>
      <c r="G314" s="1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26"/>
      <c r="C315" s="1"/>
      <c r="D315" s="1"/>
      <c r="E315" s="1"/>
      <c r="F315" s="16"/>
      <c r="G315" s="1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26"/>
      <c r="C316" s="1"/>
      <c r="D316" s="1"/>
      <c r="E316" s="1"/>
      <c r="F316" s="16"/>
      <c r="G316" s="1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26"/>
      <c r="C317" s="1"/>
      <c r="D317" s="1"/>
      <c r="E317" s="1"/>
      <c r="F317" s="16"/>
      <c r="G317" s="1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26"/>
      <c r="C318" s="1"/>
      <c r="D318" s="1"/>
      <c r="E318" s="1"/>
      <c r="F318" s="16"/>
      <c r="G318" s="1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26"/>
      <c r="C319" s="1"/>
      <c r="D319" s="1"/>
      <c r="E319" s="1"/>
      <c r="F319" s="16"/>
      <c r="G319" s="1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26"/>
      <c r="C320" s="1"/>
      <c r="D320" s="1"/>
      <c r="E320" s="1"/>
      <c r="F320" s="16"/>
      <c r="G320" s="1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26"/>
      <c r="C321" s="1"/>
      <c r="D321" s="1"/>
      <c r="E321" s="1"/>
      <c r="F321" s="16"/>
      <c r="G321" s="1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26"/>
      <c r="C322" s="1"/>
      <c r="D322" s="1"/>
      <c r="E322" s="1"/>
      <c r="F322" s="16"/>
      <c r="G322" s="1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26"/>
      <c r="C323" s="1"/>
      <c r="D323" s="1"/>
      <c r="E323" s="1"/>
      <c r="F323" s="16"/>
      <c r="G323" s="1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26"/>
      <c r="C324" s="1"/>
      <c r="D324" s="1"/>
      <c r="E324" s="1"/>
      <c r="F324" s="16"/>
      <c r="G324" s="1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26"/>
      <c r="C325" s="1"/>
      <c r="D325" s="1"/>
      <c r="E325" s="1"/>
      <c r="F325" s="16"/>
      <c r="G325" s="1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26"/>
      <c r="C326" s="1"/>
      <c r="D326" s="1"/>
      <c r="E326" s="1"/>
      <c r="F326" s="16"/>
      <c r="G326" s="1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26"/>
      <c r="C327" s="1"/>
      <c r="D327" s="1"/>
      <c r="E327" s="1"/>
      <c r="F327" s="16"/>
      <c r="G327" s="1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26"/>
      <c r="C328" s="1"/>
      <c r="D328" s="1"/>
      <c r="E328" s="1"/>
      <c r="F328" s="16"/>
      <c r="G328" s="1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26"/>
      <c r="C329" s="1"/>
      <c r="D329" s="1"/>
      <c r="E329" s="1"/>
      <c r="F329" s="16"/>
      <c r="G329" s="1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26"/>
      <c r="C330" s="1"/>
      <c r="D330" s="1"/>
      <c r="E330" s="1"/>
      <c r="F330" s="16"/>
      <c r="G330" s="1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26"/>
      <c r="C331" s="1"/>
      <c r="D331" s="1"/>
      <c r="E331" s="1"/>
      <c r="F331" s="16"/>
      <c r="G331" s="1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26"/>
      <c r="C332" s="1"/>
      <c r="D332" s="1"/>
      <c r="E332" s="1"/>
      <c r="F332" s="16"/>
      <c r="G332" s="1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26"/>
      <c r="C333" s="1"/>
      <c r="D333" s="1"/>
      <c r="E333" s="1"/>
      <c r="F333" s="16"/>
      <c r="G333" s="1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26"/>
      <c r="C334" s="1"/>
      <c r="D334" s="1"/>
      <c r="E334" s="1"/>
      <c r="F334" s="16"/>
      <c r="G334" s="1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26"/>
      <c r="C335" s="1"/>
      <c r="D335" s="1"/>
      <c r="E335" s="1"/>
      <c r="F335" s="16"/>
      <c r="G335" s="1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26"/>
      <c r="C336" s="1"/>
      <c r="D336" s="1"/>
      <c r="E336" s="1"/>
      <c r="F336" s="16"/>
      <c r="G336" s="1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26"/>
      <c r="C337" s="1"/>
      <c r="D337" s="1"/>
      <c r="E337" s="1"/>
      <c r="F337" s="16"/>
      <c r="G337" s="1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26"/>
      <c r="C338" s="1"/>
      <c r="D338" s="1"/>
      <c r="E338" s="1"/>
      <c r="F338" s="16"/>
      <c r="G338" s="1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26"/>
      <c r="C339" s="1"/>
      <c r="D339" s="1"/>
      <c r="E339" s="1"/>
      <c r="F339" s="16"/>
      <c r="G339" s="1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26"/>
      <c r="C340" s="1"/>
      <c r="D340" s="1"/>
      <c r="E340" s="1"/>
      <c r="F340" s="16"/>
      <c r="G340" s="1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26"/>
      <c r="C341" s="1"/>
      <c r="D341" s="1"/>
      <c r="E341" s="1"/>
      <c r="F341" s="16"/>
      <c r="G341" s="1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26"/>
      <c r="C342" s="1"/>
      <c r="D342" s="1"/>
      <c r="E342" s="1"/>
      <c r="F342" s="16"/>
      <c r="G342" s="1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26"/>
      <c r="C343" s="1"/>
      <c r="D343" s="1"/>
      <c r="E343" s="1"/>
      <c r="F343" s="16"/>
      <c r="G343" s="1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26"/>
      <c r="C344" s="1"/>
      <c r="D344" s="1"/>
      <c r="E344" s="1"/>
      <c r="F344" s="16"/>
      <c r="G344" s="1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26"/>
      <c r="C345" s="1"/>
      <c r="D345" s="1"/>
      <c r="E345" s="1"/>
      <c r="F345" s="16"/>
      <c r="G345" s="1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26"/>
      <c r="C346" s="1"/>
      <c r="D346" s="1"/>
      <c r="E346" s="1"/>
      <c r="F346" s="16"/>
      <c r="G346" s="1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26"/>
      <c r="C347" s="1"/>
      <c r="D347" s="1"/>
      <c r="E347" s="1"/>
      <c r="F347" s="16"/>
      <c r="G347" s="1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26"/>
      <c r="C348" s="1"/>
      <c r="D348" s="1"/>
      <c r="E348" s="1"/>
      <c r="F348" s="16"/>
      <c r="G348" s="1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26"/>
      <c r="C349" s="1"/>
      <c r="D349" s="1"/>
      <c r="E349" s="1"/>
      <c r="F349" s="16"/>
      <c r="G349" s="1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26"/>
      <c r="C350" s="1"/>
      <c r="D350" s="1"/>
      <c r="E350" s="1"/>
      <c r="F350" s="16"/>
      <c r="G350" s="1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26"/>
      <c r="C351" s="1"/>
      <c r="D351" s="1"/>
      <c r="E351" s="1"/>
      <c r="F351" s="16"/>
      <c r="G351" s="1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26"/>
      <c r="C352" s="1"/>
      <c r="D352" s="1"/>
      <c r="E352" s="1"/>
      <c r="F352" s="16"/>
      <c r="G352" s="1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26"/>
      <c r="C353" s="1"/>
      <c r="D353" s="1"/>
      <c r="E353" s="1"/>
      <c r="F353" s="16"/>
      <c r="G353" s="1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26"/>
      <c r="C354" s="1"/>
      <c r="D354" s="1"/>
      <c r="E354" s="1"/>
      <c r="F354" s="16"/>
      <c r="G354" s="1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26"/>
      <c r="C355" s="1"/>
      <c r="D355" s="1"/>
      <c r="E355" s="1"/>
      <c r="F355" s="16"/>
      <c r="G355" s="1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26"/>
      <c r="C356" s="1"/>
      <c r="D356" s="1"/>
      <c r="E356" s="1"/>
      <c r="F356" s="16"/>
      <c r="G356" s="1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26"/>
      <c r="C357" s="1"/>
      <c r="D357" s="1"/>
      <c r="E357" s="1"/>
      <c r="F357" s="16"/>
      <c r="G357" s="1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26"/>
      <c r="C358" s="1"/>
      <c r="D358" s="1"/>
      <c r="E358" s="1"/>
      <c r="F358" s="16"/>
      <c r="G358" s="1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26"/>
      <c r="C359" s="1"/>
      <c r="D359" s="1"/>
      <c r="E359" s="1"/>
      <c r="F359" s="16"/>
      <c r="G359" s="1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26"/>
      <c r="C360" s="1"/>
      <c r="D360" s="1"/>
      <c r="E360" s="1"/>
      <c r="F360" s="16"/>
      <c r="G360" s="1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26"/>
      <c r="C361" s="1"/>
      <c r="D361" s="1"/>
      <c r="E361" s="1"/>
      <c r="F361" s="16"/>
      <c r="G361" s="1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26"/>
      <c r="C362" s="1"/>
      <c r="D362" s="1"/>
      <c r="E362" s="1"/>
      <c r="F362" s="16"/>
      <c r="G362" s="1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26"/>
      <c r="C363" s="1"/>
      <c r="D363" s="1"/>
      <c r="E363" s="1"/>
      <c r="F363" s="16"/>
      <c r="G363" s="1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26"/>
      <c r="C364" s="1"/>
      <c r="D364" s="1"/>
      <c r="E364" s="1"/>
      <c r="F364" s="16"/>
      <c r="G364" s="1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26"/>
      <c r="C365" s="1"/>
      <c r="D365" s="1"/>
      <c r="E365" s="1"/>
      <c r="F365" s="16"/>
      <c r="G365" s="1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26"/>
      <c r="C366" s="1"/>
      <c r="D366" s="1"/>
      <c r="E366" s="1"/>
      <c r="F366" s="16"/>
      <c r="G366" s="1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26"/>
      <c r="C367" s="1"/>
      <c r="D367" s="1"/>
      <c r="E367" s="1"/>
      <c r="F367" s="16"/>
      <c r="G367" s="1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26"/>
      <c r="C368" s="1"/>
      <c r="D368" s="1"/>
      <c r="E368" s="1"/>
      <c r="F368" s="16"/>
      <c r="G368" s="1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26"/>
      <c r="C369" s="1"/>
      <c r="D369" s="1"/>
      <c r="E369" s="1"/>
      <c r="F369" s="16"/>
      <c r="G369" s="1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26"/>
      <c r="C370" s="1"/>
      <c r="D370" s="1"/>
      <c r="E370" s="1"/>
      <c r="F370" s="16"/>
      <c r="G370" s="1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26"/>
      <c r="C371" s="1"/>
      <c r="D371" s="1"/>
      <c r="E371" s="1"/>
      <c r="F371" s="16"/>
      <c r="G371" s="1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26"/>
      <c r="C372" s="1"/>
      <c r="D372" s="1"/>
      <c r="E372" s="1"/>
      <c r="F372" s="16"/>
      <c r="G372" s="1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26"/>
      <c r="C373" s="1"/>
      <c r="D373" s="1"/>
      <c r="E373" s="1"/>
      <c r="F373" s="16"/>
      <c r="G373" s="1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26"/>
      <c r="C374" s="1"/>
      <c r="D374" s="1"/>
      <c r="E374" s="1"/>
      <c r="F374" s="16"/>
      <c r="G374" s="1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26"/>
      <c r="C375" s="1"/>
      <c r="D375" s="1"/>
      <c r="E375" s="1"/>
      <c r="F375" s="16"/>
      <c r="G375" s="1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26"/>
      <c r="C376" s="1"/>
      <c r="D376" s="1"/>
      <c r="E376" s="1"/>
      <c r="F376" s="16"/>
      <c r="G376" s="1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26"/>
      <c r="C377" s="1"/>
      <c r="D377" s="1"/>
      <c r="E377" s="1"/>
      <c r="F377" s="16"/>
      <c r="G377" s="1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26"/>
      <c r="C378" s="1"/>
      <c r="D378" s="1"/>
      <c r="E378" s="1"/>
      <c r="F378" s="16"/>
      <c r="G378" s="1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26"/>
      <c r="C379" s="1"/>
      <c r="D379" s="1"/>
      <c r="E379" s="1"/>
      <c r="F379" s="16"/>
      <c r="G379" s="1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26"/>
      <c r="C380" s="1"/>
      <c r="D380" s="1"/>
      <c r="E380" s="1"/>
      <c r="F380" s="16"/>
      <c r="G380" s="1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26"/>
      <c r="C381" s="1"/>
      <c r="D381" s="1"/>
      <c r="E381" s="1"/>
      <c r="F381" s="16"/>
      <c r="G381" s="1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26"/>
      <c r="C382" s="1"/>
      <c r="D382" s="1"/>
      <c r="E382" s="1"/>
      <c r="F382" s="16"/>
      <c r="G382" s="1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26"/>
      <c r="C383" s="1"/>
      <c r="D383" s="1"/>
      <c r="E383" s="1"/>
      <c r="F383" s="16"/>
      <c r="G383" s="1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26"/>
      <c r="C384" s="1"/>
      <c r="D384" s="1"/>
      <c r="E384" s="1"/>
      <c r="F384" s="16"/>
      <c r="G384" s="1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26"/>
      <c r="C385" s="1"/>
      <c r="D385" s="1"/>
      <c r="E385" s="1"/>
      <c r="F385" s="16"/>
      <c r="G385" s="1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26"/>
      <c r="C386" s="1"/>
      <c r="D386" s="1"/>
      <c r="E386" s="1"/>
      <c r="F386" s="16"/>
      <c r="G386" s="1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26"/>
      <c r="C387" s="1"/>
      <c r="D387" s="1"/>
      <c r="E387" s="1"/>
      <c r="F387" s="16"/>
      <c r="G387" s="1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26"/>
      <c r="C388" s="1"/>
      <c r="D388" s="1"/>
      <c r="E388" s="1"/>
      <c r="F388" s="16"/>
      <c r="G388" s="1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26"/>
      <c r="C389" s="1"/>
      <c r="D389" s="1"/>
      <c r="E389" s="1"/>
      <c r="F389" s="16"/>
      <c r="G389" s="1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26"/>
      <c r="C390" s="1"/>
      <c r="D390" s="1"/>
      <c r="E390" s="1"/>
      <c r="F390" s="16"/>
      <c r="G390" s="1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26"/>
      <c r="C391" s="1"/>
      <c r="D391" s="1"/>
      <c r="E391" s="1"/>
      <c r="F391" s="16"/>
      <c r="G391" s="1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26"/>
      <c r="C392" s="1"/>
      <c r="D392" s="1"/>
      <c r="E392" s="1"/>
      <c r="F392" s="16"/>
      <c r="G392" s="1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26"/>
      <c r="C393" s="1"/>
      <c r="D393" s="1"/>
      <c r="E393" s="1"/>
      <c r="F393" s="16"/>
      <c r="G393" s="1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26"/>
      <c r="C394" s="1"/>
      <c r="D394" s="1"/>
      <c r="E394" s="1"/>
      <c r="F394" s="16"/>
      <c r="G394" s="1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26"/>
      <c r="C395" s="1"/>
      <c r="D395" s="1"/>
      <c r="E395" s="1"/>
      <c r="F395" s="16"/>
      <c r="G395" s="1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26"/>
      <c r="C396" s="1"/>
      <c r="D396" s="1"/>
      <c r="E396" s="1"/>
      <c r="F396" s="16"/>
      <c r="G396" s="1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26"/>
      <c r="C397" s="1"/>
      <c r="D397" s="1"/>
      <c r="E397" s="1"/>
      <c r="F397" s="16"/>
      <c r="G397" s="1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26"/>
      <c r="C398" s="1"/>
      <c r="D398" s="1"/>
      <c r="E398" s="1"/>
      <c r="F398" s="16"/>
      <c r="G398" s="1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26"/>
      <c r="C399" s="1"/>
      <c r="D399" s="1"/>
      <c r="E399" s="1"/>
      <c r="F399" s="16"/>
      <c r="G399" s="1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26"/>
      <c r="C400" s="1"/>
      <c r="D400" s="1"/>
      <c r="E400" s="1"/>
      <c r="F400" s="16"/>
      <c r="G400" s="1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26"/>
      <c r="C401" s="1"/>
      <c r="D401" s="1"/>
      <c r="E401" s="1"/>
      <c r="F401" s="16"/>
      <c r="G401" s="1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26"/>
      <c r="C402" s="1"/>
      <c r="D402" s="1"/>
      <c r="E402" s="1"/>
      <c r="F402" s="16"/>
      <c r="G402" s="1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26"/>
      <c r="C403" s="1"/>
      <c r="D403" s="1"/>
      <c r="E403" s="1"/>
      <c r="F403" s="16"/>
      <c r="G403" s="1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26"/>
      <c r="C404" s="1"/>
      <c r="D404" s="1"/>
      <c r="E404" s="1"/>
      <c r="F404" s="16"/>
      <c r="G404" s="1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26"/>
      <c r="C405" s="1"/>
      <c r="D405" s="1"/>
      <c r="E405" s="1"/>
      <c r="F405" s="16"/>
      <c r="G405" s="1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26"/>
      <c r="C406" s="1"/>
      <c r="D406" s="1"/>
      <c r="E406" s="1"/>
      <c r="F406" s="16"/>
      <c r="G406" s="1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26"/>
      <c r="C407" s="1"/>
      <c r="D407" s="1"/>
      <c r="E407" s="1"/>
      <c r="F407" s="16"/>
      <c r="G407" s="1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26"/>
      <c r="C408" s="1"/>
      <c r="D408" s="1"/>
      <c r="E408" s="1"/>
      <c r="F408" s="16"/>
      <c r="G408" s="1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26"/>
      <c r="C409" s="1"/>
      <c r="D409" s="1"/>
      <c r="E409" s="1"/>
      <c r="F409" s="16"/>
      <c r="G409" s="1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26"/>
      <c r="C410" s="1"/>
      <c r="D410" s="1"/>
      <c r="E410" s="1"/>
      <c r="F410" s="16"/>
      <c r="G410" s="1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26"/>
      <c r="C411" s="1"/>
      <c r="D411" s="1"/>
      <c r="E411" s="1"/>
      <c r="F411" s="16"/>
      <c r="G411" s="1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26"/>
      <c r="C412" s="1"/>
      <c r="D412" s="1"/>
      <c r="E412" s="1"/>
      <c r="F412" s="16"/>
      <c r="G412" s="1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26"/>
      <c r="C413" s="1"/>
      <c r="D413" s="1"/>
      <c r="E413" s="1"/>
      <c r="F413" s="16"/>
      <c r="G413" s="1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26"/>
      <c r="C414" s="1"/>
      <c r="D414" s="1"/>
      <c r="E414" s="1"/>
      <c r="F414" s="16"/>
      <c r="G414" s="1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26"/>
      <c r="C415" s="1"/>
      <c r="D415" s="1"/>
      <c r="E415" s="1"/>
      <c r="F415" s="16"/>
      <c r="G415" s="1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26"/>
      <c r="C416" s="1"/>
      <c r="D416" s="1"/>
      <c r="E416" s="1"/>
      <c r="F416" s="16"/>
      <c r="G416" s="1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26"/>
      <c r="C417" s="1"/>
      <c r="D417" s="1"/>
      <c r="E417" s="1"/>
      <c r="F417" s="16"/>
      <c r="G417" s="1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26"/>
      <c r="C418" s="1"/>
      <c r="D418" s="1"/>
      <c r="E418" s="1"/>
      <c r="F418" s="16"/>
      <c r="G418" s="1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26"/>
      <c r="C419" s="1"/>
      <c r="D419" s="1"/>
      <c r="E419" s="1"/>
      <c r="F419" s="16"/>
      <c r="G419" s="1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26"/>
      <c r="C420" s="1"/>
      <c r="D420" s="1"/>
      <c r="E420" s="1"/>
      <c r="F420" s="16"/>
      <c r="G420" s="1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26"/>
      <c r="C421" s="1"/>
      <c r="D421" s="1"/>
      <c r="E421" s="1"/>
      <c r="F421" s="16"/>
      <c r="G421" s="1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26"/>
      <c r="C422" s="1"/>
      <c r="D422" s="1"/>
      <c r="E422" s="1"/>
      <c r="F422" s="16"/>
      <c r="G422" s="1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26"/>
      <c r="C423" s="1"/>
      <c r="D423" s="1"/>
      <c r="E423" s="1"/>
      <c r="F423" s="16"/>
      <c r="G423" s="1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26"/>
      <c r="C424" s="1"/>
      <c r="D424" s="1"/>
      <c r="E424" s="1"/>
      <c r="F424" s="16"/>
      <c r="G424" s="1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26"/>
      <c r="C425" s="1"/>
      <c r="D425" s="1"/>
      <c r="E425" s="1"/>
      <c r="F425" s="16"/>
      <c r="G425" s="1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26"/>
      <c r="C426" s="1"/>
      <c r="D426" s="1"/>
      <c r="E426" s="1"/>
      <c r="F426" s="16"/>
      <c r="G426" s="1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26"/>
      <c r="C427" s="1"/>
      <c r="D427" s="1"/>
      <c r="E427" s="1"/>
      <c r="F427" s="16"/>
      <c r="G427" s="1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26"/>
      <c r="C428" s="1"/>
      <c r="D428" s="1"/>
      <c r="E428" s="1"/>
      <c r="F428" s="16"/>
      <c r="G428" s="1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26"/>
      <c r="C429" s="1"/>
      <c r="D429" s="1"/>
      <c r="E429" s="1"/>
      <c r="F429" s="16"/>
      <c r="G429" s="1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26"/>
      <c r="C430" s="1"/>
      <c r="D430" s="1"/>
      <c r="E430" s="1"/>
      <c r="F430" s="16"/>
      <c r="G430" s="1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26"/>
      <c r="C431" s="1"/>
      <c r="D431" s="1"/>
      <c r="E431" s="1"/>
      <c r="F431" s="16"/>
      <c r="G431" s="1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26"/>
      <c r="C432" s="1"/>
      <c r="D432" s="1"/>
      <c r="E432" s="1"/>
      <c r="F432" s="16"/>
      <c r="G432" s="1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26"/>
      <c r="C433" s="1"/>
      <c r="D433" s="1"/>
      <c r="E433" s="1"/>
      <c r="F433" s="16"/>
      <c r="G433" s="1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26"/>
      <c r="C434" s="1"/>
      <c r="D434" s="1"/>
      <c r="E434" s="1"/>
      <c r="F434" s="16"/>
      <c r="G434" s="1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26"/>
      <c r="C435" s="1"/>
      <c r="D435" s="1"/>
      <c r="E435" s="1"/>
      <c r="F435" s="16"/>
      <c r="G435" s="1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26"/>
      <c r="C436" s="1"/>
      <c r="D436" s="1"/>
      <c r="E436" s="1"/>
      <c r="F436" s="16"/>
      <c r="G436" s="1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26"/>
      <c r="C437" s="1"/>
      <c r="D437" s="1"/>
      <c r="E437" s="1"/>
      <c r="F437" s="16"/>
      <c r="G437" s="1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26"/>
      <c r="C438" s="1"/>
      <c r="D438" s="1"/>
      <c r="E438" s="1"/>
      <c r="F438" s="16"/>
      <c r="G438" s="1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26"/>
      <c r="C439" s="1"/>
      <c r="D439" s="1"/>
      <c r="E439" s="1"/>
      <c r="F439" s="16"/>
      <c r="G439" s="1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26"/>
      <c r="C440" s="1"/>
      <c r="D440" s="1"/>
      <c r="E440" s="1"/>
      <c r="F440" s="16"/>
      <c r="G440" s="1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26"/>
      <c r="C441" s="1"/>
      <c r="D441" s="1"/>
      <c r="E441" s="1"/>
      <c r="F441" s="16"/>
      <c r="G441" s="1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26"/>
      <c r="C442" s="1"/>
      <c r="D442" s="1"/>
      <c r="E442" s="1"/>
      <c r="F442" s="16"/>
      <c r="G442" s="1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26"/>
      <c r="C443" s="1"/>
      <c r="D443" s="1"/>
      <c r="E443" s="1"/>
      <c r="F443" s="16"/>
      <c r="G443" s="1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26"/>
      <c r="C444" s="1"/>
      <c r="D444" s="1"/>
      <c r="E444" s="1"/>
      <c r="F444" s="16"/>
      <c r="G444" s="1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26"/>
      <c r="C445" s="1"/>
      <c r="D445" s="1"/>
      <c r="E445" s="1"/>
      <c r="F445" s="16"/>
      <c r="G445" s="1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26"/>
      <c r="C446" s="1"/>
      <c r="D446" s="1"/>
      <c r="E446" s="1"/>
      <c r="F446" s="16"/>
      <c r="G446" s="1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26"/>
      <c r="C447" s="1"/>
      <c r="D447" s="1"/>
      <c r="E447" s="1"/>
      <c r="F447" s="16"/>
      <c r="G447" s="1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26"/>
      <c r="C448" s="1"/>
      <c r="D448" s="1"/>
      <c r="E448" s="1"/>
      <c r="F448" s="16"/>
      <c r="G448" s="1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26"/>
      <c r="C449" s="1"/>
      <c r="D449" s="1"/>
      <c r="E449" s="1"/>
      <c r="F449" s="16"/>
      <c r="G449" s="1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26"/>
      <c r="C450" s="1"/>
      <c r="D450" s="1"/>
      <c r="E450" s="1"/>
      <c r="F450" s="16"/>
      <c r="G450" s="1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26"/>
      <c r="C451" s="1"/>
      <c r="D451" s="1"/>
      <c r="E451" s="1"/>
      <c r="F451" s="16"/>
      <c r="G451" s="1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26"/>
      <c r="C452" s="1"/>
      <c r="D452" s="1"/>
      <c r="E452" s="1"/>
      <c r="F452" s="16"/>
      <c r="G452" s="1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26"/>
      <c r="C453" s="1"/>
      <c r="D453" s="1"/>
      <c r="E453" s="1"/>
      <c r="F453" s="16"/>
      <c r="G453" s="1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26"/>
      <c r="C454" s="1"/>
      <c r="D454" s="1"/>
      <c r="E454" s="1"/>
      <c r="F454" s="16"/>
      <c r="G454" s="1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26"/>
      <c r="C455" s="1"/>
      <c r="D455" s="1"/>
      <c r="E455" s="1"/>
      <c r="F455" s="16"/>
      <c r="G455" s="1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26"/>
      <c r="C456" s="1"/>
      <c r="D456" s="1"/>
      <c r="E456" s="1"/>
      <c r="F456" s="16"/>
      <c r="G456" s="1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26"/>
      <c r="C457" s="1"/>
      <c r="D457" s="1"/>
      <c r="E457" s="1"/>
      <c r="F457" s="16"/>
      <c r="G457" s="1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26"/>
      <c r="C458" s="1"/>
      <c r="D458" s="1"/>
      <c r="E458" s="1"/>
      <c r="F458" s="16"/>
      <c r="G458" s="1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26"/>
      <c r="C459" s="1"/>
      <c r="D459" s="1"/>
      <c r="E459" s="1"/>
      <c r="F459" s="16"/>
      <c r="G459" s="1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26"/>
      <c r="C460" s="1"/>
      <c r="D460" s="1"/>
      <c r="E460" s="1"/>
      <c r="F460" s="16"/>
      <c r="G460" s="1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26"/>
      <c r="C461" s="1"/>
      <c r="D461" s="1"/>
      <c r="E461" s="1"/>
      <c r="F461" s="16"/>
      <c r="G461" s="1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26"/>
      <c r="C462" s="1"/>
      <c r="D462" s="1"/>
      <c r="E462" s="1"/>
      <c r="F462" s="16"/>
      <c r="G462" s="1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26"/>
      <c r="C463" s="1"/>
      <c r="D463" s="1"/>
      <c r="E463" s="1"/>
      <c r="F463" s="16"/>
      <c r="G463" s="1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26"/>
      <c r="C464" s="1"/>
      <c r="D464" s="1"/>
      <c r="E464" s="1"/>
      <c r="F464" s="16"/>
      <c r="G464" s="1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26"/>
      <c r="C465" s="1"/>
      <c r="D465" s="1"/>
      <c r="E465" s="1"/>
      <c r="F465" s="16"/>
      <c r="G465" s="1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26"/>
      <c r="C466" s="1"/>
      <c r="D466" s="1"/>
      <c r="E466" s="1"/>
      <c r="F466" s="16"/>
      <c r="G466" s="1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26"/>
      <c r="C467" s="1"/>
      <c r="D467" s="1"/>
      <c r="E467" s="1"/>
      <c r="F467" s="16"/>
      <c r="G467" s="1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26"/>
      <c r="C468" s="1"/>
      <c r="D468" s="1"/>
      <c r="E468" s="1"/>
      <c r="F468" s="16"/>
      <c r="G468" s="1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26"/>
      <c r="C469" s="1"/>
      <c r="D469" s="1"/>
      <c r="E469" s="1"/>
      <c r="F469" s="16"/>
      <c r="G469" s="1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26"/>
      <c r="C470" s="1"/>
      <c r="D470" s="1"/>
      <c r="E470" s="1"/>
      <c r="F470" s="16"/>
      <c r="G470" s="1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26"/>
      <c r="C471" s="1"/>
      <c r="D471" s="1"/>
      <c r="E471" s="1"/>
      <c r="F471" s="16"/>
      <c r="G471" s="1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26"/>
      <c r="C472" s="1"/>
      <c r="D472" s="1"/>
      <c r="E472" s="1"/>
      <c r="F472" s="16"/>
      <c r="G472" s="1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26"/>
      <c r="C473" s="1"/>
      <c r="D473" s="1"/>
      <c r="E473" s="1"/>
      <c r="F473" s="16"/>
      <c r="G473" s="1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26"/>
      <c r="C474" s="1"/>
      <c r="D474" s="1"/>
      <c r="E474" s="1"/>
      <c r="F474" s="16"/>
      <c r="G474" s="1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26"/>
      <c r="C475" s="1"/>
      <c r="D475" s="1"/>
      <c r="E475" s="1"/>
      <c r="F475" s="16"/>
      <c r="G475" s="1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26"/>
      <c r="C476" s="1"/>
      <c r="D476" s="1"/>
      <c r="E476" s="1"/>
      <c r="F476" s="16"/>
      <c r="G476" s="1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26"/>
      <c r="C477" s="1"/>
      <c r="D477" s="1"/>
      <c r="E477" s="1"/>
      <c r="F477" s="16"/>
      <c r="G477" s="1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26"/>
      <c r="C478" s="1"/>
      <c r="D478" s="1"/>
      <c r="E478" s="1"/>
      <c r="F478" s="16"/>
      <c r="G478" s="1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26"/>
      <c r="C479" s="1"/>
      <c r="D479" s="1"/>
      <c r="E479" s="1"/>
      <c r="F479" s="16"/>
      <c r="G479" s="1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26"/>
      <c r="C480" s="1"/>
      <c r="D480" s="1"/>
      <c r="E480" s="1"/>
      <c r="F480" s="16"/>
      <c r="G480" s="1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26"/>
      <c r="C481" s="1"/>
      <c r="D481" s="1"/>
      <c r="E481" s="1"/>
      <c r="F481" s="16"/>
      <c r="G481" s="1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26"/>
      <c r="C482" s="1"/>
      <c r="D482" s="1"/>
      <c r="E482" s="1"/>
      <c r="F482" s="16"/>
      <c r="G482" s="1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26"/>
      <c r="C483" s="1"/>
      <c r="D483" s="1"/>
      <c r="E483" s="1"/>
      <c r="F483" s="16"/>
      <c r="G483" s="1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26"/>
      <c r="C484" s="1"/>
      <c r="D484" s="1"/>
      <c r="E484" s="1"/>
      <c r="F484" s="16"/>
      <c r="G484" s="1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26"/>
      <c r="C485" s="1"/>
      <c r="D485" s="1"/>
      <c r="E485" s="1"/>
      <c r="F485" s="16"/>
      <c r="G485" s="1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26"/>
      <c r="C486" s="1"/>
      <c r="D486" s="1"/>
      <c r="E486" s="1"/>
      <c r="F486" s="16"/>
      <c r="G486" s="1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26"/>
      <c r="C487" s="1"/>
      <c r="D487" s="1"/>
      <c r="E487" s="1"/>
      <c r="F487" s="16"/>
      <c r="G487" s="1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26"/>
      <c r="C488" s="1"/>
      <c r="D488" s="1"/>
      <c r="E488" s="1"/>
      <c r="F488" s="16"/>
      <c r="G488" s="1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26"/>
      <c r="C489" s="1"/>
      <c r="D489" s="1"/>
      <c r="E489" s="1"/>
      <c r="F489" s="16"/>
      <c r="G489" s="1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26"/>
      <c r="C490" s="1"/>
      <c r="D490" s="1"/>
      <c r="E490" s="1"/>
      <c r="F490" s="16"/>
      <c r="G490" s="1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26"/>
      <c r="C491" s="1"/>
      <c r="D491" s="1"/>
      <c r="E491" s="1"/>
      <c r="F491" s="16"/>
      <c r="G491" s="1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26"/>
      <c r="C492" s="1"/>
      <c r="D492" s="1"/>
      <c r="E492" s="1"/>
      <c r="F492" s="16"/>
      <c r="G492" s="1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26"/>
      <c r="C493" s="1"/>
      <c r="D493" s="1"/>
      <c r="E493" s="1"/>
      <c r="F493" s="16"/>
      <c r="G493" s="1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26"/>
      <c r="C494" s="1"/>
      <c r="D494" s="1"/>
      <c r="E494" s="1"/>
      <c r="F494" s="16"/>
      <c r="G494" s="1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26"/>
      <c r="C495" s="1"/>
      <c r="D495" s="1"/>
      <c r="E495" s="1"/>
      <c r="F495" s="16"/>
      <c r="G495" s="1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26"/>
      <c r="C496" s="1"/>
      <c r="D496" s="1"/>
      <c r="E496" s="1"/>
      <c r="F496" s="16"/>
      <c r="G496" s="1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26"/>
      <c r="C497" s="1"/>
      <c r="D497" s="1"/>
      <c r="E497" s="1"/>
      <c r="F497" s="16"/>
      <c r="G497" s="1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26"/>
      <c r="C498" s="1"/>
      <c r="D498" s="1"/>
      <c r="E498" s="1"/>
      <c r="F498" s="16"/>
      <c r="G498" s="1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26"/>
      <c r="C499" s="1"/>
      <c r="D499" s="1"/>
      <c r="E499" s="1"/>
      <c r="F499" s="16"/>
      <c r="G499" s="1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26"/>
      <c r="C500" s="1"/>
      <c r="D500" s="1"/>
      <c r="E500" s="1"/>
      <c r="F500" s="16"/>
      <c r="G500" s="1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26"/>
      <c r="C501" s="1"/>
      <c r="D501" s="1"/>
      <c r="E501" s="1"/>
      <c r="F501" s="16"/>
      <c r="G501" s="1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26"/>
      <c r="C502" s="1"/>
      <c r="D502" s="1"/>
      <c r="E502" s="1"/>
      <c r="F502" s="16"/>
      <c r="G502" s="1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26"/>
      <c r="C503" s="1"/>
      <c r="D503" s="1"/>
      <c r="E503" s="1"/>
      <c r="F503" s="16"/>
      <c r="G503" s="1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26"/>
      <c r="C504" s="1"/>
      <c r="D504" s="1"/>
      <c r="E504" s="1"/>
      <c r="F504" s="16"/>
      <c r="G504" s="1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26"/>
      <c r="C505" s="1"/>
      <c r="D505" s="1"/>
      <c r="E505" s="1"/>
      <c r="F505" s="16"/>
      <c r="G505" s="1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26"/>
      <c r="C506" s="1"/>
      <c r="D506" s="1"/>
      <c r="E506" s="1"/>
      <c r="F506" s="16"/>
      <c r="G506" s="1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26"/>
      <c r="C507" s="1"/>
      <c r="D507" s="1"/>
      <c r="E507" s="1"/>
      <c r="F507" s="16"/>
      <c r="G507" s="1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26"/>
      <c r="C508" s="1"/>
      <c r="D508" s="1"/>
      <c r="E508" s="1"/>
      <c r="F508" s="16"/>
      <c r="G508" s="1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26"/>
      <c r="C509" s="1"/>
      <c r="D509" s="1"/>
      <c r="E509" s="1"/>
      <c r="F509" s="16"/>
      <c r="G509" s="1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26"/>
      <c r="C510" s="1"/>
      <c r="D510" s="1"/>
      <c r="E510" s="1"/>
      <c r="F510" s="16"/>
      <c r="G510" s="1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26"/>
      <c r="C511" s="1"/>
      <c r="D511" s="1"/>
      <c r="E511" s="1"/>
      <c r="F511" s="16"/>
      <c r="G511" s="1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26"/>
      <c r="C512" s="1"/>
      <c r="D512" s="1"/>
      <c r="E512" s="1"/>
      <c r="F512" s="16"/>
      <c r="G512" s="1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26"/>
      <c r="C513" s="1"/>
      <c r="D513" s="1"/>
      <c r="E513" s="1"/>
      <c r="F513" s="16"/>
      <c r="G513" s="1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26"/>
      <c r="C514" s="1"/>
      <c r="D514" s="1"/>
      <c r="E514" s="1"/>
      <c r="F514" s="16"/>
      <c r="G514" s="1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26"/>
      <c r="C515" s="1"/>
      <c r="D515" s="1"/>
      <c r="E515" s="1"/>
      <c r="F515" s="16"/>
      <c r="G515" s="1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26"/>
      <c r="C516" s="1"/>
      <c r="D516" s="1"/>
      <c r="E516" s="1"/>
      <c r="F516" s="16"/>
      <c r="G516" s="1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26"/>
      <c r="C517" s="1"/>
      <c r="D517" s="1"/>
      <c r="E517" s="1"/>
      <c r="F517" s="16"/>
      <c r="G517" s="1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26"/>
      <c r="C518" s="1"/>
      <c r="D518" s="1"/>
      <c r="E518" s="1"/>
      <c r="F518" s="16"/>
      <c r="G518" s="1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26"/>
      <c r="C519" s="1"/>
      <c r="D519" s="1"/>
      <c r="E519" s="1"/>
      <c r="F519" s="16"/>
      <c r="G519" s="1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26"/>
      <c r="C520" s="1"/>
      <c r="D520" s="1"/>
      <c r="E520" s="1"/>
      <c r="F520" s="16"/>
      <c r="G520" s="1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26"/>
      <c r="C521" s="1"/>
      <c r="D521" s="1"/>
      <c r="E521" s="1"/>
      <c r="F521" s="16"/>
      <c r="G521" s="1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26"/>
      <c r="C522" s="1"/>
      <c r="D522" s="1"/>
      <c r="E522" s="1"/>
      <c r="F522" s="16"/>
      <c r="G522" s="1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26"/>
      <c r="C523" s="1"/>
      <c r="D523" s="1"/>
      <c r="E523" s="1"/>
      <c r="F523" s="16"/>
      <c r="G523" s="1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26"/>
      <c r="C524" s="1"/>
      <c r="D524" s="1"/>
      <c r="E524" s="1"/>
      <c r="F524" s="16"/>
      <c r="G524" s="1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26"/>
      <c r="C525" s="1"/>
      <c r="D525" s="1"/>
      <c r="E525" s="1"/>
      <c r="F525" s="16"/>
      <c r="G525" s="1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26"/>
      <c r="C526" s="1"/>
      <c r="D526" s="1"/>
      <c r="E526" s="1"/>
      <c r="F526" s="16"/>
      <c r="G526" s="1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26"/>
      <c r="C527" s="1"/>
      <c r="D527" s="1"/>
      <c r="E527" s="1"/>
      <c r="F527" s="16"/>
      <c r="G527" s="1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26"/>
      <c r="C528" s="1"/>
      <c r="D528" s="1"/>
      <c r="E528" s="1"/>
      <c r="F528" s="16"/>
      <c r="G528" s="1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26"/>
      <c r="C529" s="1"/>
      <c r="D529" s="1"/>
      <c r="E529" s="1"/>
      <c r="F529" s="16"/>
      <c r="G529" s="1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26"/>
      <c r="C530" s="1"/>
      <c r="D530" s="1"/>
      <c r="E530" s="1"/>
      <c r="F530" s="16"/>
      <c r="G530" s="1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26"/>
      <c r="C531" s="1"/>
      <c r="D531" s="1"/>
      <c r="E531" s="1"/>
      <c r="F531" s="16"/>
      <c r="G531" s="1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26"/>
      <c r="C532" s="1"/>
      <c r="D532" s="1"/>
      <c r="E532" s="1"/>
      <c r="F532" s="16"/>
      <c r="G532" s="1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26"/>
      <c r="C533" s="1"/>
      <c r="D533" s="1"/>
      <c r="E533" s="1"/>
      <c r="F533" s="16"/>
      <c r="G533" s="1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26"/>
      <c r="C534" s="1"/>
      <c r="D534" s="1"/>
      <c r="E534" s="1"/>
      <c r="F534" s="16"/>
      <c r="G534" s="1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26"/>
      <c r="C535" s="1"/>
      <c r="D535" s="1"/>
      <c r="E535" s="1"/>
      <c r="F535" s="16"/>
      <c r="G535" s="1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26"/>
      <c r="C536" s="1"/>
      <c r="D536" s="1"/>
      <c r="E536" s="1"/>
      <c r="F536" s="16"/>
      <c r="G536" s="1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26"/>
      <c r="C537" s="1"/>
      <c r="D537" s="1"/>
      <c r="E537" s="1"/>
      <c r="F537" s="16"/>
      <c r="G537" s="1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26"/>
      <c r="C538" s="1"/>
      <c r="D538" s="1"/>
      <c r="E538" s="1"/>
      <c r="F538" s="16"/>
      <c r="G538" s="1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26"/>
      <c r="C539" s="1"/>
      <c r="D539" s="1"/>
      <c r="E539" s="1"/>
      <c r="F539" s="16"/>
      <c r="G539" s="1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26"/>
      <c r="C540" s="1"/>
      <c r="D540" s="1"/>
      <c r="E540" s="1"/>
      <c r="F540" s="16"/>
      <c r="G540" s="1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26"/>
      <c r="C541" s="1"/>
      <c r="D541" s="1"/>
      <c r="E541" s="1"/>
      <c r="F541" s="16"/>
      <c r="G541" s="1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26"/>
      <c r="C542" s="1"/>
      <c r="D542" s="1"/>
      <c r="E542" s="1"/>
      <c r="F542" s="16"/>
      <c r="G542" s="1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26"/>
      <c r="C543" s="1"/>
      <c r="D543" s="1"/>
      <c r="E543" s="1"/>
      <c r="F543" s="16"/>
      <c r="G543" s="1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26"/>
      <c r="C544" s="1"/>
      <c r="D544" s="1"/>
      <c r="E544" s="1"/>
      <c r="F544" s="16"/>
      <c r="G544" s="1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26"/>
      <c r="C545" s="1"/>
      <c r="D545" s="1"/>
      <c r="E545" s="1"/>
      <c r="F545" s="16"/>
      <c r="G545" s="1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26"/>
      <c r="C546" s="1"/>
      <c r="D546" s="1"/>
      <c r="E546" s="1"/>
      <c r="F546" s="16"/>
      <c r="G546" s="1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26"/>
      <c r="C547" s="1"/>
      <c r="D547" s="1"/>
      <c r="E547" s="1"/>
      <c r="F547" s="16"/>
      <c r="G547" s="1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26"/>
      <c r="C548" s="1"/>
      <c r="D548" s="1"/>
      <c r="E548" s="1"/>
      <c r="F548" s="16"/>
      <c r="G548" s="1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26"/>
      <c r="C549" s="1"/>
      <c r="D549" s="1"/>
      <c r="E549" s="1"/>
      <c r="F549" s="16"/>
      <c r="G549" s="1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26"/>
      <c r="C550" s="1"/>
      <c r="D550" s="1"/>
      <c r="E550" s="1"/>
      <c r="F550" s="16"/>
      <c r="G550" s="1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26"/>
      <c r="C551" s="1"/>
      <c r="D551" s="1"/>
      <c r="E551" s="1"/>
      <c r="F551" s="16"/>
      <c r="G551" s="1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26"/>
      <c r="C552" s="1"/>
      <c r="D552" s="1"/>
      <c r="E552" s="1"/>
      <c r="F552" s="16"/>
      <c r="G552" s="1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26"/>
      <c r="C553" s="1"/>
      <c r="D553" s="1"/>
      <c r="E553" s="1"/>
      <c r="F553" s="16"/>
      <c r="G553" s="1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26"/>
      <c r="C554" s="1"/>
      <c r="D554" s="1"/>
      <c r="E554" s="1"/>
      <c r="F554" s="16"/>
      <c r="G554" s="1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26"/>
      <c r="C555" s="1"/>
      <c r="D555" s="1"/>
      <c r="E555" s="1"/>
      <c r="F555" s="16"/>
      <c r="G555" s="1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26"/>
      <c r="C556" s="1"/>
      <c r="D556" s="1"/>
      <c r="E556" s="1"/>
      <c r="F556" s="16"/>
      <c r="G556" s="1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26"/>
      <c r="C557" s="1"/>
      <c r="D557" s="1"/>
      <c r="E557" s="1"/>
      <c r="F557" s="16"/>
      <c r="G557" s="1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26"/>
      <c r="C558" s="1"/>
      <c r="D558" s="1"/>
      <c r="E558" s="1"/>
      <c r="F558" s="16"/>
      <c r="G558" s="1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26"/>
      <c r="C559" s="1"/>
      <c r="D559" s="1"/>
      <c r="E559" s="1"/>
      <c r="F559" s="16"/>
      <c r="G559" s="1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26"/>
      <c r="C560" s="1"/>
      <c r="D560" s="1"/>
      <c r="E560" s="1"/>
      <c r="F560" s="16"/>
      <c r="G560" s="1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26"/>
      <c r="C561" s="1"/>
      <c r="D561" s="1"/>
      <c r="E561" s="1"/>
      <c r="F561" s="16"/>
      <c r="G561" s="1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26"/>
      <c r="C562" s="1"/>
      <c r="D562" s="1"/>
      <c r="E562" s="1"/>
      <c r="F562" s="16"/>
      <c r="G562" s="1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26"/>
      <c r="C563" s="1"/>
      <c r="D563" s="1"/>
      <c r="E563" s="1"/>
      <c r="F563" s="16"/>
      <c r="G563" s="1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26"/>
      <c r="C564" s="1"/>
      <c r="D564" s="1"/>
      <c r="E564" s="1"/>
      <c r="F564" s="16"/>
      <c r="G564" s="1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26"/>
      <c r="C565" s="1"/>
      <c r="D565" s="1"/>
      <c r="E565" s="1"/>
      <c r="F565" s="16"/>
      <c r="G565" s="1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26"/>
      <c r="C566" s="1"/>
      <c r="D566" s="1"/>
      <c r="E566" s="1"/>
      <c r="F566" s="16"/>
      <c r="G566" s="1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26"/>
      <c r="C567" s="1"/>
      <c r="D567" s="1"/>
      <c r="E567" s="1"/>
      <c r="F567" s="16"/>
      <c r="G567" s="1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26"/>
      <c r="C568" s="1"/>
      <c r="D568" s="1"/>
      <c r="E568" s="1"/>
      <c r="F568" s="16"/>
      <c r="G568" s="1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26"/>
      <c r="C569" s="1"/>
      <c r="D569" s="1"/>
      <c r="E569" s="1"/>
      <c r="F569" s="16"/>
      <c r="G569" s="1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26"/>
      <c r="C570" s="1"/>
      <c r="D570" s="1"/>
      <c r="E570" s="1"/>
      <c r="F570" s="16"/>
      <c r="G570" s="1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26"/>
      <c r="C571" s="1"/>
      <c r="D571" s="1"/>
      <c r="E571" s="1"/>
      <c r="F571" s="16"/>
      <c r="G571" s="1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26"/>
      <c r="C572" s="1"/>
      <c r="D572" s="1"/>
      <c r="E572" s="1"/>
      <c r="F572" s="16"/>
      <c r="G572" s="1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26"/>
      <c r="C573" s="1"/>
      <c r="D573" s="1"/>
      <c r="E573" s="1"/>
      <c r="F573" s="16"/>
      <c r="G573" s="1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26"/>
      <c r="C574" s="1"/>
      <c r="D574" s="1"/>
      <c r="E574" s="1"/>
      <c r="F574" s="16"/>
      <c r="G574" s="1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26"/>
      <c r="C575" s="1"/>
      <c r="D575" s="1"/>
      <c r="E575" s="1"/>
      <c r="F575" s="16"/>
      <c r="G575" s="1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26"/>
      <c r="C576" s="1"/>
      <c r="D576" s="1"/>
      <c r="E576" s="1"/>
      <c r="F576" s="16"/>
      <c r="G576" s="1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26"/>
      <c r="C577" s="1"/>
      <c r="D577" s="1"/>
      <c r="E577" s="1"/>
      <c r="F577" s="16"/>
      <c r="G577" s="1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26"/>
      <c r="C578" s="1"/>
      <c r="D578" s="1"/>
      <c r="E578" s="1"/>
      <c r="F578" s="16"/>
      <c r="G578" s="1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26"/>
      <c r="C579" s="1"/>
      <c r="D579" s="1"/>
      <c r="E579" s="1"/>
      <c r="F579" s="16"/>
      <c r="G579" s="1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26"/>
      <c r="C580" s="1"/>
      <c r="D580" s="1"/>
      <c r="E580" s="1"/>
      <c r="F580" s="16"/>
      <c r="G580" s="1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26"/>
      <c r="C581" s="1"/>
      <c r="D581" s="1"/>
      <c r="E581" s="1"/>
      <c r="F581" s="16"/>
      <c r="G581" s="1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26"/>
      <c r="C582" s="1"/>
      <c r="D582" s="1"/>
      <c r="E582" s="1"/>
      <c r="F582" s="16"/>
      <c r="G582" s="1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26"/>
      <c r="C583" s="1"/>
      <c r="D583" s="1"/>
      <c r="E583" s="1"/>
      <c r="F583" s="16"/>
      <c r="G583" s="1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26"/>
      <c r="C584" s="1"/>
      <c r="D584" s="1"/>
      <c r="E584" s="1"/>
      <c r="F584" s="16"/>
      <c r="G584" s="1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26"/>
      <c r="C585" s="1"/>
      <c r="D585" s="1"/>
      <c r="E585" s="1"/>
      <c r="F585" s="16"/>
      <c r="G585" s="1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26"/>
      <c r="C586" s="1"/>
      <c r="D586" s="1"/>
      <c r="E586" s="1"/>
      <c r="F586" s="16"/>
      <c r="G586" s="1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26"/>
      <c r="C587" s="1"/>
      <c r="D587" s="1"/>
      <c r="E587" s="1"/>
      <c r="F587" s="16"/>
      <c r="G587" s="1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26"/>
      <c r="C588" s="1"/>
      <c r="D588" s="1"/>
      <c r="E588" s="1"/>
      <c r="F588" s="16"/>
      <c r="G588" s="1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26"/>
      <c r="C589" s="1"/>
      <c r="D589" s="1"/>
      <c r="E589" s="1"/>
      <c r="F589" s="16"/>
      <c r="G589" s="1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26"/>
      <c r="C590" s="1"/>
      <c r="D590" s="1"/>
      <c r="E590" s="1"/>
      <c r="F590" s="16"/>
      <c r="G590" s="1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26"/>
      <c r="C591" s="1"/>
      <c r="D591" s="1"/>
      <c r="E591" s="1"/>
      <c r="F591" s="16"/>
      <c r="G591" s="1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26"/>
      <c r="C592" s="1"/>
      <c r="D592" s="1"/>
      <c r="E592" s="1"/>
      <c r="F592" s="16"/>
      <c r="G592" s="1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26"/>
      <c r="C593" s="1"/>
      <c r="D593" s="1"/>
      <c r="E593" s="1"/>
      <c r="F593" s="16"/>
      <c r="G593" s="1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26"/>
      <c r="C594" s="1"/>
      <c r="D594" s="1"/>
      <c r="E594" s="1"/>
      <c r="F594" s="16"/>
      <c r="G594" s="1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26"/>
      <c r="C595" s="1"/>
      <c r="D595" s="1"/>
      <c r="E595" s="1"/>
      <c r="F595" s="16"/>
      <c r="G595" s="1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26"/>
      <c r="C596" s="1"/>
      <c r="D596" s="1"/>
      <c r="E596" s="1"/>
      <c r="F596" s="16"/>
      <c r="G596" s="1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26"/>
      <c r="C597" s="1"/>
      <c r="D597" s="1"/>
      <c r="E597" s="1"/>
      <c r="F597" s="16"/>
      <c r="G597" s="1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26"/>
      <c r="C598" s="1"/>
      <c r="D598" s="1"/>
      <c r="E598" s="1"/>
      <c r="F598" s="16"/>
      <c r="G598" s="1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26"/>
      <c r="C599" s="1"/>
      <c r="D599" s="1"/>
      <c r="E599" s="1"/>
      <c r="F599" s="16"/>
      <c r="G599" s="1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26"/>
      <c r="C600" s="1"/>
      <c r="D600" s="1"/>
      <c r="E600" s="1"/>
      <c r="F600" s="16"/>
      <c r="G600" s="1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26"/>
      <c r="C601" s="1"/>
      <c r="D601" s="1"/>
      <c r="E601" s="1"/>
      <c r="F601" s="16"/>
      <c r="G601" s="1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26"/>
      <c r="C602" s="1"/>
      <c r="D602" s="1"/>
      <c r="E602" s="1"/>
      <c r="F602" s="16"/>
      <c r="G602" s="1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26"/>
      <c r="C603" s="1"/>
      <c r="D603" s="1"/>
      <c r="E603" s="1"/>
      <c r="F603" s="16"/>
      <c r="G603" s="1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26"/>
      <c r="C604" s="1"/>
      <c r="D604" s="1"/>
      <c r="E604" s="1"/>
      <c r="F604" s="16"/>
      <c r="G604" s="1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26"/>
      <c r="C605" s="1"/>
      <c r="D605" s="1"/>
      <c r="E605" s="1"/>
      <c r="F605" s="16"/>
      <c r="G605" s="1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26"/>
      <c r="C606" s="1"/>
      <c r="D606" s="1"/>
      <c r="E606" s="1"/>
      <c r="F606" s="16"/>
      <c r="G606" s="1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26"/>
      <c r="C607" s="1"/>
      <c r="D607" s="1"/>
      <c r="E607" s="1"/>
      <c r="F607" s="16"/>
      <c r="G607" s="1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26"/>
      <c r="C608" s="1"/>
      <c r="D608" s="1"/>
      <c r="E608" s="1"/>
      <c r="F608" s="16"/>
      <c r="G608" s="1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26"/>
      <c r="C609" s="1"/>
      <c r="D609" s="1"/>
      <c r="E609" s="1"/>
      <c r="F609" s="16"/>
      <c r="G609" s="1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26"/>
      <c r="C610" s="1"/>
      <c r="D610" s="1"/>
      <c r="E610" s="1"/>
      <c r="F610" s="16"/>
      <c r="G610" s="1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26"/>
      <c r="C611" s="1"/>
      <c r="D611" s="1"/>
      <c r="E611" s="1"/>
      <c r="F611" s="16"/>
      <c r="G611" s="1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26"/>
      <c r="C612" s="1"/>
      <c r="D612" s="1"/>
      <c r="E612" s="1"/>
      <c r="F612" s="16"/>
      <c r="G612" s="1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26"/>
      <c r="C613" s="1"/>
      <c r="D613" s="1"/>
      <c r="E613" s="1"/>
      <c r="F613" s="16"/>
      <c r="G613" s="1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26"/>
      <c r="C614" s="1"/>
      <c r="D614" s="1"/>
      <c r="E614" s="1"/>
      <c r="F614" s="16"/>
      <c r="G614" s="1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26"/>
      <c r="C615" s="1"/>
      <c r="D615" s="1"/>
      <c r="E615" s="1"/>
      <c r="F615" s="16"/>
      <c r="G615" s="1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26"/>
      <c r="C616" s="1"/>
      <c r="D616" s="1"/>
      <c r="E616" s="1"/>
      <c r="F616" s="16"/>
      <c r="G616" s="1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26"/>
      <c r="C617" s="1"/>
      <c r="D617" s="1"/>
      <c r="E617" s="1"/>
      <c r="F617" s="16"/>
      <c r="G617" s="1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26"/>
      <c r="C618" s="1"/>
      <c r="D618" s="1"/>
      <c r="E618" s="1"/>
      <c r="F618" s="16"/>
      <c r="G618" s="1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26"/>
      <c r="C619" s="1"/>
      <c r="D619" s="1"/>
      <c r="E619" s="1"/>
      <c r="F619" s="16"/>
      <c r="G619" s="1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26"/>
      <c r="C620" s="1"/>
      <c r="D620" s="1"/>
      <c r="E620" s="1"/>
      <c r="F620" s="16"/>
      <c r="G620" s="1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26"/>
      <c r="C621" s="1"/>
      <c r="D621" s="1"/>
      <c r="E621" s="1"/>
      <c r="F621" s="16"/>
      <c r="G621" s="1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26"/>
      <c r="C622" s="1"/>
      <c r="D622" s="1"/>
      <c r="E622" s="1"/>
      <c r="F622" s="16"/>
      <c r="G622" s="1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26"/>
      <c r="C623" s="1"/>
      <c r="D623" s="1"/>
      <c r="E623" s="1"/>
      <c r="F623" s="16"/>
      <c r="G623" s="1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26"/>
      <c r="C624" s="1"/>
      <c r="D624" s="1"/>
      <c r="E624" s="1"/>
      <c r="F624" s="16"/>
      <c r="G624" s="1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26"/>
      <c r="C625" s="1"/>
      <c r="D625" s="1"/>
      <c r="E625" s="1"/>
      <c r="F625" s="16"/>
      <c r="G625" s="1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26"/>
      <c r="C626" s="1"/>
      <c r="D626" s="1"/>
      <c r="E626" s="1"/>
      <c r="F626" s="16"/>
      <c r="G626" s="1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26"/>
      <c r="C627" s="1"/>
      <c r="D627" s="1"/>
      <c r="E627" s="1"/>
      <c r="F627" s="16"/>
      <c r="G627" s="1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26"/>
      <c r="C628" s="1"/>
      <c r="D628" s="1"/>
      <c r="E628" s="1"/>
      <c r="F628" s="16"/>
      <c r="G628" s="1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26"/>
      <c r="C629" s="1"/>
      <c r="D629" s="1"/>
      <c r="E629" s="1"/>
      <c r="F629" s="16"/>
      <c r="G629" s="1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26"/>
      <c r="C630" s="1"/>
      <c r="D630" s="1"/>
      <c r="E630" s="1"/>
      <c r="F630" s="16"/>
      <c r="G630" s="1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26"/>
      <c r="C631" s="1"/>
      <c r="D631" s="1"/>
      <c r="E631" s="1"/>
      <c r="F631" s="16"/>
      <c r="G631" s="1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26"/>
      <c r="C632" s="1"/>
      <c r="D632" s="1"/>
      <c r="E632" s="1"/>
      <c r="F632" s="16"/>
      <c r="G632" s="1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26"/>
      <c r="C633" s="1"/>
      <c r="D633" s="1"/>
      <c r="E633" s="1"/>
      <c r="F633" s="16"/>
      <c r="G633" s="1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26"/>
      <c r="C634" s="1"/>
      <c r="D634" s="1"/>
      <c r="E634" s="1"/>
      <c r="F634" s="16"/>
      <c r="G634" s="1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26"/>
      <c r="C635" s="1"/>
      <c r="D635" s="1"/>
      <c r="E635" s="1"/>
      <c r="F635" s="16"/>
      <c r="G635" s="1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26"/>
      <c r="C636" s="1"/>
      <c r="D636" s="1"/>
      <c r="E636" s="1"/>
      <c r="F636" s="16"/>
      <c r="G636" s="1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26"/>
      <c r="C637" s="1"/>
      <c r="D637" s="1"/>
      <c r="E637" s="1"/>
      <c r="F637" s="16"/>
      <c r="G637" s="1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26"/>
      <c r="C638" s="1"/>
      <c r="D638" s="1"/>
      <c r="E638" s="1"/>
      <c r="F638" s="16"/>
      <c r="G638" s="1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26"/>
      <c r="C639" s="1"/>
      <c r="D639" s="1"/>
      <c r="E639" s="1"/>
      <c r="F639" s="16"/>
      <c r="G639" s="1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26"/>
      <c r="C640" s="1"/>
      <c r="D640" s="1"/>
      <c r="E640" s="1"/>
      <c r="F640" s="16"/>
      <c r="G640" s="1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26"/>
      <c r="C641" s="1"/>
      <c r="D641" s="1"/>
      <c r="E641" s="1"/>
      <c r="F641" s="16"/>
      <c r="G641" s="1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26"/>
      <c r="C642" s="1"/>
      <c r="D642" s="1"/>
      <c r="E642" s="1"/>
      <c r="F642" s="16"/>
      <c r="G642" s="1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26"/>
      <c r="C643" s="1"/>
      <c r="D643" s="1"/>
      <c r="E643" s="1"/>
      <c r="F643" s="16"/>
      <c r="G643" s="1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26"/>
      <c r="C644" s="1"/>
      <c r="D644" s="1"/>
      <c r="E644" s="1"/>
      <c r="F644" s="16"/>
      <c r="G644" s="1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26"/>
      <c r="C645" s="1"/>
      <c r="D645" s="1"/>
      <c r="E645" s="1"/>
      <c r="F645" s="16"/>
      <c r="G645" s="1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26"/>
      <c r="C646" s="1"/>
      <c r="D646" s="1"/>
      <c r="E646" s="1"/>
      <c r="F646" s="16"/>
      <c r="G646" s="1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26"/>
      <c r="C647" s="1"/>
      <c r="D647" s="1"/>
      <c r="E647" s="1"/>
      <c r="F647" s="16"/>
      <c r="G647" s="1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26"/>
      <c r="C648" s="1"/>
      <c r="D648" s="1"/>
      <c r="E648" s="1"/>
      <c r="F648" s="16"/>
      <c r="G648" s="1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26"/>
      <c r="C649" s="1"/>
      <c r="D649" s="1"/>
      <c r="E649" s="1"/>
      <c r="F649" s="16"/>
      <c r="G649" s="1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26"/>
      <c r="C650" s="1"/>
      <c r="D650" s="1"/>
      <c r="E650" s="1"/>
      <c r="F650" s="16"/>
      <c r="G650" s="1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26"/>
      <c r="C651" s="1"/>
      <c r="D651" s="1"/>
      <c r="E651" s="1"/>
      <c r="F651" s="16"/>
      <c r="G651" s="1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26"/>
      <c r="C652" s="1"/>
      <c r="D652" s="1"/>
      <c r="E652" s="1"/>
      <c r="F652" s="16"/>
      <c r="G652" s="1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26"/>
      <c r="C653" s="1"/>
      <c r="D653" s="1"/>
      <c r="E653" s="1"/>
      <c r="F653" s="16"/>
      <c r="G653" s="1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26"/>
      <c r="C654" s="1"/>
      <c r="D654" s="1"/>
      <c r="E654" s="1"/>
      <c r="F654" s="16"/>
      <c r="G654" s="1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26"/>
      <c r="C655" s="1"/>
      <c r="D655" s="1"/>
      <c r="E655" s="1"/>
      <c r="F655" s="16"/>
      <c r="G655" s="1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26"/>
      <c r="C656" s="1"/>
      <c r="D656" s="1"/>
      <c r="E656" s="1"/>
      <c r="F656" s="16"/>
      <c r="G656" s="1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26"/>
      <c r="C657" s="1"/>
      <c r="D657" s="1"/>
      <c r="E657" s="1"/>
      <c r="F657" s="16"/>
      <c r="G657" s="1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26"/>
      <c r="C658" s="1"/>
      <c r="D658" s="1"/>
      <c r="E658" s="1"/>
      <c r="F658" s="16"/>
      <c r="G658" s="1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26"/>
      <c r="C659" s="1"/>
      <c r="D659" s="1"/>
      <c r="E659" s="1"/>
      <c r="F659" s="16"/>
      <c r="G659" s="1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26"/>
      <c r="C660" s="1"/>
      <c r="D660" s="1"/>
      <c r="E660" s="1"/>
      <c r="F660" s="16"/>
      <c r="G660" s="1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26"/>
      <c r="C661" s="1"/>
      <c r="D661" s="1"/>
      <c r="E661" s="1"/>
      <c r="F661" s="16"/>
      <c r="G661" s="1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26"/>
      <c r="C662" s="1"/>
      <c r="D662" s="1"/>
      <c r="E662" s="1"/>
      <c r="F662" s="16"/>
      <c r="G662" s="1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26"/>
      <c r="C663" s="1"/>
      <c r="D663" s="1"/>
      <c r="E663" s="1"/>
      <c r="F663" s="16"/>
      <c r="G663" s="1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26"/>
      <c r="C664" s="1"/>
      <c r="D664" s="1"/>
      <c r="E664" s="1"/>
      <c r="F664" s="16"/>
      <c r="G664" s="1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26"/>
      <c r="C665" s="1"/>
      <c r="D665" s="1"/>
      <c r="E665" s="1"/>
      <c r="F665" s="16"/>
      <c r="G665" s="1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26"/>
      <c r="C666" s="1"/>
      <c r="D666" s="1"/>
      <c r="E666" s="1"/>
      <c r="F666" s="16"/>
      <c r="G666" s="1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26"/>
      <c r="C667" s="1"/>
      <c r="D667" s="1"/>
      <c r="E667" s="1"/>
      <c r="F667" s="16"/>
      <c r="G667" s="1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26"/>
      <c r="C668" s="1"/>
      <c r="D668" s="1"/>
      <c r="E668" s="1"/>
      <c r="F668" s="16"/>
      <c r="G668" s="1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26"/>
      <c r="C669" s="1"/>
      <c r="D669" s="1"/>
      <c r="E669" s="1"/>
      <c r="F669" s="16"/>
      <c r="G669" s="1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26"/>
      <c r="C670" s="1"/>
      <c r="D670" s="1"/>
      <c r="E670" s="1"/>
      <c r="F670" s="16"/>
      <c r="G670" s="1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26"/>
      <c r="C671" s="1"/>
      <c r="D671" s="1"/>
      <c r="E671" s="1"/>
      <c r="F671" s="16"/>
      <c r="G671" s="1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26"/>
      <c r="C672" s="1"/>
      <c r="D672" s="1"/>
      <c r="E672" s="1"/>
      <c r="F672" s="16"/>
      <c r="G672" s="1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26"/>
      <c r="C673" s="1"/>
      <c r="D673" s="1"/>
      <c r="E673" s="1"/>
      <c r="F673" s="16"/>
      <c r="G673" s="1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26"/>
      <c r="C674" s="1"/>
      <c r="D674" s="1"/>
      <c r="E674" s="1"/>
      <c r="F674" s="16"/>
      <c r="G674" s="1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26"/>
      <c r="C675" s="1"/>
      <c r="D675" s="1"/>
      <c r="E675" s="1"/>
      <c r="F675" s="16"/>
      <c r="G675" s="1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26"/>
      <c r="C676" s="1"/>
      <c r="D676" s="1"/>
      <c r="E676" s="1"/>
      <c r="F676" s="16"/>
      <c r="G676" s="1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26"/>
      <c r="C677" s="1"/>
      <c r="D677" s="1"/>
      <c r="E677" s="1"/>
      <c r="F677" s="16"/>
      <c r="G677" s="1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26"/>
      <c r="C678" s="1"/>
      <c r="D678" s="1"/>
      <c r="E678" s="1"/>
      <c r="F678" s="16"/>
      <c r="G678" s="1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26"/>
      <c r="C679" s="1"/>
      <c r="D679" s="1"/>
      <c r="E679" s="1"/>
      <c r="F679" s="16"/>
      <c r="G679" s="1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26"/>
      <c r="C680" s="1"/>
      <c r="D680" s="1"/>
      <c r="E680" s="1"/>
      <c r="F680" s="16"/>
      <c r="G680" s="1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26"/>
      <c r="C681" s="1"/>
      <c r="D681" s="1"/>
      <c r="E681" s="1"/>
      <c r="F681" s="16"/>
      <c r="G681" s="1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26"/>
      <c r="C682" s="1"/>
      <c r="D682" s="1"/>
      <c r="E682" s="1"/>
      <c r="F682" s="16"/>
      <c r="G682" s="1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26"/>
      <c r="C683" s="1"/>
      <c r="D683" s="1"/>
      <c r="E683" s="1"/>
      <c r="F683" s="16"/>
      <c r="G683" s="1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26"/>
      <c r="C684" s="1"/>
      <c r="D684" s="1"/>
      <c r="E684" s="1"/>
      <c r="F684" s="16"/>
      <c r="G684" s="1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26"/>
      <c r="C685" s="1"/>
      <c r="D685" s="1"/>
      <c r="E685" s="1"/>
      <c r="F685" s="16"/>
      <c r="G685" s="1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26"/>
      <c r="C686" s="1"/>
      <c r="D686" s="1"/>
      <c r="E686" s="1"/>
      <c r="F686" s="16"/>
      <c r="G686" s="1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26"/>
      <c r="C687" s="1"/>
      <c r="D687" s="1"/>
      <c r="E687" s="1"/>
      <c r="F687" s="16"/>
      <c r="G687" s="1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26"/>
      <c r="C688" s="1"/>
      <c r="D688" s="1"/>
      <c r="E688" s="1"/>
      <c r="F688" s="16"/>
      <c r="G688" s="1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26"/>
      <c r="C689" s="1"/>
      <c r="D689" s="1"/>
      <c r="E689" s="1"/>
      <c r="F689" s="16"/>
      <c r="G689" s="1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26"/>
      <c r="C690" s="1"/>
      <c r="D690" s="1"/>
      <c r="E690" s="1"/>
      <c r="F690" s="16"/>
      <c r="G690" s="1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26"/>
      <c r="C691" s="1"/>
      <c r="D691" s="1"/>
      <c r="E691" s="1"/>
      <c r="F691" s="16"/>
      <c r="G691" s="1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26"/>
      <c r="C692" s="1"/>
      <c r="D692" s="1"/>
      <c r="E692" s="1"/>
      <c r="F692" s="16"/>
      <c r="G692" s="1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26"/>
      <c r="C693" s="1"/>
      <c r="D693" s="1"/>
      <c r="E693" s="1"/>
      <c r="F693" s="16"/>
      <c r="G693" s="1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26"/>
      <c r="C694" s="1"/>
      <c r="D694" s="1"/>
      <c r="E694" s="1"/>
      <c r="F694" s="16"/>
      <c r="G694" s="1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26"/>
      <c r="C695" s="1"/>
      <c r="D695" s="1"/>
      <c r="E695" s="1"/>
      <c r="F695" s="16"/>
      <c r="G695" s="1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26"/>
      <c r="C696" s="1"/>
      <c r="D696" s="1"/>
      <c r="E696" s="1"/>
      <c r="F696" s="16"/>
      <c r="G696" s="1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26"/>
      <c r="C697" s="1"/>
      <c r="D697" s="1"/>
      <c r="E697" s="1"/>
      <c r="F697" s="16"/>
      <c r="G697" s="1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26"/>
      <c r="C698" s="1"/>
      <c r="D698" s="1"/>
      <c r="E698" s="1"/>
      <c r="F698" s="16"/>
      <c r="G698" s="1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26"/>
      <c r="C699" s="1"/>
      <c r="D699" s="1"/>
      <c r="E699" s="1"/>
      <c r="F699" s="16"/>
      <c r="G699" s="1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26"/>
      <c r="C700" s="1"/>
      <c r="D700" s="1"/>
      <c r="E700" s="1"/>
      <c r="F700" s="16"/>
      <c r="G700" s="1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26"/>
      <c r="C701" s="1"/>
      <c r="D701" s="1"/>
      <c r="E701" s="1"/>
      <c r="F701" s="16"/>
      <c r="G701" s="1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26"/>
      <c r="C702" s="1"/>
      <c r="D702" s="1"/>
      <c r="E702" s="1"/>
      <c r="F702" s="16"/>
      <c r="G702" s="1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26"/>
      <c r="C703" s="1"/>
      <c r="D703" s="1"/>
      <c r="E703" s="1"/>
      <c r="F703" s="16"/>
      <c r="G703" s="1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26"/>
      <c r="C704" s="1"/>
      <c r="D704" s="1"/>
      <c r="E704" s="1"/>
      <c r="F704" s="16"/>
      <c r="G704" s="1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26"/>
      <c r="C705" s="1"/>
      <c r="D705" s="1"/>
      <c r="E705" s="1"/>
      <c r="F705" s="16"/>
      <c r="G705" s="1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26"/>
      <c r="C706" s="1"/>
      <c r="D706" s="1"/>
      <c r="E706" s="1"/>
      <c r="F706" s="16"/>
      <c r="G706" s="1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26"/>
      <c r="C707" s="1"/>
      <c r="D707" s="1"/>
      <c r="E707" s="1"/>
      <c r="F707" s="16"/>
      <c r="G707" s="1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26"/>
      <c r="C708" s="1"/>
      <c r="D708" s="1"/>
      <c r="E708" s="1"/>
      <c r="F708" s="16"/>
      <c r="G708" s="1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26"/>
      <c r="C709" s="1"/>
      <c r="D709" s="1"/>
      <c r="E709" s="1"/>
      <c r="F709" s="16"/>
      <c r="G709" s="1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26"/>
      <c r="C710" s="1"/>
      <c r="D710" s="1"/>
      <c r="E710" s="1"/>
      <c r="F710" s="16"/>
      <c r="G710" s="1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26"/>
      <c r="C711" s="1"/>
      <c r="D711" s="1"/>
      <c r="E711" s="1"/>
      <c r="F711" s="16"/>
      <c r="G711" s="1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26"/>
      <c r="C712" s="1"/>
      <c r="D712" s="1"/>
      <c r="E712" s="1"/>
      <c r="F712" s="16"/>
      <c r="G712" s="1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26"/>
      <c r="C713" s="1"/>
      <c r="D713" s="1"/>
      <c r="E713" s="1"/>
      <c r="F713" s="16"/>
      <c r="G713" s="1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26"/>
      <c r="C714" s="1"/>
      <c r="D714" s="1"/>
      <c r="E714" s="1"/>
      <c r="F714" s="16"/>
      <c r="G714" s="1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26"/>
      <c r="C715" s="1"/>
      <c r="D715" s="1"/>
      <c r="E715" s="1"/>
      <c r="F715" s="16"/>
      <c r="G715" s="1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26"/>
      <c r="C716" s="1"/>
      <c r="D716" s="1"/>
      <c r="E716" s="1"/>
      <c r="F716" s="16"/>
      <c r="G716" s="1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26"/>
      <c r="C717" s="1"/>
      <c r="D717" s="1"/>
      <c r="E717" s="1"/>
      <c r="F717" s="16"/>
      <c r="G717" s="1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26"/>
      <c r="C718" s="1"/>
      <c r="D718" s="1"/>
      <c r="E718" s="1"/>
      <c r="F718" s="16"/>
      <c r="G718" s="1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26"/>
      <c r="C719" s="1"/>
      <c r="D719" s="1"/>
      <c r="E719" s="1"/>
      <c r="F719" s="16"/>
      <c r="G719" s="1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26"/>
      <c r="C720" s="1"/>
      <c r="D720" s="1"/>
      <c r="E720" s="1"/>
      <c r="F720" s="16"/>
      <c r="G720" s="1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26"/>
      <c r="C721" s="1"/>
      <c r="D721" s="1"/>
      <c r="E721" s="1"/>
      <c r="F721" s="16"/>
      <c r="G721" s="1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26"/>
      <c r="C722" s="1"/>
      <c r="D722" s="1"/>
      <c r="E722" s="1"/>
      <c r="F722" s="16"/>
      <c r="G722" s="1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26"/>
      <c r="C723" s="1"/>
      <c r="D723" s="1"/>
      <c r="E723" s="1"/>
      <c r="F723" s="16"/>
      <c r="G723" s="1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26"/>
      <c r="C724" s="1"/>
      <c r="D724" s="1"/>
      <c r="E724" s="1"/>
      <c r="F724" s="16"/>
      <c r="G724" s="1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26"/>
      <c r="C725" s="1"/>
      <c r="D725" s="1"/>
      <c r="E725" s="1"/>
      <c r="F725" s="16"/>
      <c r="G725" s="1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26"/>
      <c r="C726" s="1"/>
      <c r="D726" s="1"/>
      <c r="E726" s="1"/>
      <c r="F726" s="16"/>
      <c r="G726" s="1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26"/>
      <c r="C727" s="1"/>
      <c r="D727" s="1"/>
      <c r="E727" s="1"/>
      <c r="F727" s="16"/>
      <c r="G727" s="1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26"/>
      <c r="C728" s="1"/>
      <c r="D728" s="1"/>
      <c r="E728" s="1"/>
      <c r="F728" s="16"/>
      <c r="G728" s="1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26"/>
      <c r="C729" s="1"/>
      <c r="D729" s="1"/>
      <c r="E729" s="1"/>
      <c r="F729" s="16"/>
      <c r="G729" s="1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26"/>
      <c r="C730" s="1"/>
      <c r="D730" s="1"/>
      <c r="E730" s="1"/>
      <c r="F730" s="16"/>
      <c r="G730" s="1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26"/>
      <c r="C731" s="1"/>
      <c r="D731" s="1"/>
      <c r="E731" s="1"/>
      <c r="F731" s="16"/>
      <c r="G731" s="1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26"/>
      <c r="C732" s="1"/>
      <c r="D732" s="1"/>
      <c r="E732" s="1"/>
      <c r="F732" s="16"/>
      <c r="G732" s="1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26"/>
      <c r="C733" s="1"/>
      <c r="D733" s="1"/>
      <c r="E733" s="1"/>
      <c r="F733" s="16"/>
      <c r="G733" s="1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26"/>
      <c r="C734" s="1"/>
      <c r="D734" s="1"/>
      <c r="E734" s="1"/>
      <c r="F734" s="16"/>
      <c r="G734" s="1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26"/>
      <c r="C735" s="1"/>
      <c r="D735" s="1"/>
      <c r="E735" s="1"/>
      <c r="F735" s="16"/>
      <c r="G735" s="1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26"/>
      <c r="C736" s="1"/>
      <c r="D736" s="1"/>
      <c r="E736" s="1"/>
      <c r="F736" s="16"/>
      <c r="G736" s="1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26"/>
      <c r="C737" s="1"/>
      <c r="D737" s="1"/>
      <c r="E737" s="1"/>
      <c r="F737" s="16"/>
      <c r="G737" s="1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26"/>
      <c r="C738" s="1"/>
      <c r="D738" s="1"/>
      <c r="E738" s="1"/>
      <c r="F738" s="16"/>
      <c r="G738" s="1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26"/>
      <c r="C739" s="1"/>
      <c r="D739" s="1"/>
      <c r="E739" s="1"/>
      <c r="F739" s="16"/>
      <c r="G739" s="1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26"/>
      <c r="C740" s="1"/>
      <c r="D740" s="1"/>
      <c r="E740" s="1"/>
      <c r="F740" s="16"/>
      <c r="G740" s="1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26"/>
      <c r="C741" s="1"/>
      <c r="D741" s="1"/>
      <c r="E741" s="1"/>
      <c r="F741" s="16"/>
      <c r="G741" s="1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26"/>
      <c r="C742" s="1"/>
      <c r="D742" s="1"/>
      <c r="E742" s="1"/>
      <c r="F742" s="16"/>
      <c r="G742" s="1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26"/>
      <c r="C743" s="1"/>
      <c r="D743" s="1"/>
      <c r="E743" s="1"/>
      <c r="F743" s="16"/>
      <c r="G743" s="1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26"/>
      <c r="C744" s="1"/>
      <c r="D744" s="1"/>
      <c r="E744" s="1"/>
      <c r="F744" s="16"/>
      <c r="G744" s="1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26"/>
      <c r="C745" s="1"/>
      <c r="D745" s="1"/>
      <c r="E745" s="1"/>
      <c r="F745" s="16"/>
      <c r="G745" s="1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26"/>
      <c r="C746" s="1"/>
      <c r="D746" s="1"/>
      <c r="E746" s="1"/>
      <c r="F746" s="16"/>
      <c r="G746" s="1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26"/>
      <c r="C747" s="1"/>
      <c r="D747" s="1"/>
      <c r="E747" s="1"/>
      <c r="F747" s="16"/>
      <c r="G747" s="1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26"/>
      <c r="C748" s="1"/>
      <c r="D748" s="1"/>
      <c r="E748" s="1"/>
      <c r="F748" s="16"/>
      <c r="G748" s="1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26"/>
      <c r="C749" s="1"/>
      <c r="D749" s="1"/>
      <c r="E749" s="1"/>
      <c r="F749" s="16"/>
      <c r="G749" s="1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26"/>
      <c r="C750" s="1"/>
      <c r="D750" s="1"/>
      <c r="E750" s="1"/>
      <c r="F750" s="16"/>
      <c r="G750" s="1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26"/>
      <c r="C751" s="1"/>
      <c r="D751" s="1"/>
      <c r="E751" s="1"/>
      <c r="F751" s="16"/>
      <c r="G751" s="1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26"/>
      <c r="C752" s="1"/>
      <c r="D752" s="1"/>
      <c r="E752" s="1"/>
      <c r="F752" s="16"/>
      <c r="G752" s="1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26"/>
      <c r="C753" s="1"/>
      <c r="D753" s="1"/>
      <c r="E753" s="1"/>
      <c r="F753" s="16"/>
      <c r="G753" s="1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26"/>
      <c r="C754" s="1"/>
      <c r="D754" s="1"/>
      <c r="E754" s="1"/>
      <c r="F754" s="16"/>
      <c r="G754" s="1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26"/>
      <c r="C755" s="1"/>
      <c r="D755" s="1"/>
      <c r="E755" s="1"/>
      <c r="F755" s="16"/>
      <c r="G755" s="1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26"/>
      <c r="C756" s="1"/>
      <c r="D756" s="1"/>
      <c r="E756" s="1"/>
      <c r="F756" s="16"/>
      <c r="G756" s="1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26"/>
      <c r="C757" s="1"/>
      <c r="D757" s="1"/>
      <c r="E757" s="1"/>
      <c r="F757" s="16"/>
      <c r="G757" s="1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26"/>
      <c r="C758" s="1"/>
      <c r="D758" s="1"/>
      <c r="E758" s="1"/>
      <c r="F758" s="16"/>
      <c r="G758" s="1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26"/>
      <c r="C759" s="1"/>
      <c r="D759" s="1"/>
      <c r="E759" s="1"/>
      <c r="F759" s="16"/>
      <c r="G759" s="1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26"/>
      <c r="C760" s="1"/>
      <c r="D760" s="1"/>
      <c r="E760" s="1"/>
      <c r="F760" s="16"/>
      <c r="G760" s="1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26"/>
      <c r="C761" s="1"/>
      <c r="D761" s="1"/>
      <c r="E761" s="1"/>
      <c r="F761" s="16"/>
      <c r="G761" s="1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26"/>
      <c r="C762" s="1"/>
      <c r="D762" s="1"/>
      <c r="E762" s="1"/>
      <c r="F762" s="16"/>
      <c r="G762" s="1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26"/>
      <c r="C763" s="1"/>
      <c r="D763" s="1"/>
      <c r="E763" s="1"/>
      <c r="F763" s="16"/>
      <c r="G763" s="1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26"/>
      <c r="C764" s="1"/>
      <c r="D764" s="1"/>
      <c r="E764" s="1"/>
      <c r="F764" s="16"/>
      <c r="G764" s="1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26"/>
      <c r="C765" s="1"/>
      <c r="D765" s="1"/>
      <c r="E765" s="1"/>
      <c r="F765" s="16"/>
      <c r="G765" s="1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26"/>
      <c r="C766" s="1"/>
      <c r="D766" s="1"/>
      <c r="E766" s="1"/>
      <c r="F766" s="16"/>
      <c r="G766" s="1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26"/>
      <c r="C767" s="1"/>
      <c r="D767" s="1"/>
      <c r="E767" s="1"/>
      <c r="F767" s="16"/>
      <c r="G767" s="1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26"/>
      <c r="C768" s="1"/>
      <c r="D768" s="1"/>
      <c r="E768" s="1"/>
      <c r="F768" s="16"/>
      <c r="G768" s="1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26"/>
      <c r="C769" s="1"/>
      <c r="D769" s="1"/>
      <c r="E769" s="1"/>
      <c r="F769" s="16"/>
      <c r="G769" s="1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26"/>
      <c r="C770" s="1"/>
      <c r="D770" s="1"/>
      <c r="E770" s="1"/>
      <c r="F770" s="16"/>
      <c r="G770" s="1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26"/>
      <c r="C771" s="1"/>
      <c r="D771" s="1"/>
      <c r="E771" s="1"/>
      <c r="F771" s="16"/>
      <c r="G771" s="1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26"/>
      <c r="C772" s="1"/>
      <c r="D772" s="1"/>
      <c r="E772" s="1"/>
      <c r="F772" s="16"/>
      <c r="G772" s="1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26"/>
      <c r="C773" s="1"/>
      <c r="D773" s="1"/>
      <c r="E773" s="1"/>
      <c r="F773" s="16"/>
      <c r="G773" s="1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26"/>
      <c r="C774" s="1"/>
      <c r="D774" s="1"/>
      <c r="E774" s="1"/>
      <c r="F774" s="16"/>
      <c r="G774" s="1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26"/>
      <c r="C775" s="1"/>
      <c r="D775" s="1"/>
      <c r="E775" s="1"/>
      <c r="F775" s="16"/>
      <c r="G775" s="1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26"/>
      <c r="C776" s="1"/>
      <c r="D776" s="1"/>
      <c r="E776" s="1"/>
      <c r="F776" s="16"/>
      <c r="G776" s="1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26"/>
      <c r="C777" s="1"/>
      <c r="D777" s="1"/>
      <c r="E777" s="1"/>
      <c r="F777" s="16"/>
      <c r="G777" s="1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26"/>
      <c r="C778" s="1"/>
      <c r="D778" s="1"/>
      <c r="E778" s="1"/>
      <c r="F778" s="16"/>
      <c r="G778" s="1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26"/>
      <c r="C779" s="1"/>
      <c r="D779" s="1"/>
      <c r="E779" s="1"/>
      <c r="F779" s="16"/>
      <c r="G779" s="1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26"/>
      <c r="C780" s="1"/>
      <c r="D780" s="1"/>
      <c r="E780" s="1"/>
      <c r="F780" s="16"/>
      <c r="G780" s="1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26"/>
      <c r="C781" s="1"/>
      <c r="D781" s="1"/>
      <c r="E781" s="1"/>
      <c r="F781" s="16"/>
      <c r="G781" s="1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26"/>
      <c r="C782" s="1"/>
      <c r="D782" s="1"/>
      <c r="E782" s="1"/>
      <c r="F782" s="16"/>
      <c r="G782" s="1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26"/>
      <c r="C783" s="1"/>
      <c r="D783" s="1"/>
      <c r="E783" s="1"/>
      <c r="F783" s="16"/>
      <c r="G783" s="1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26"/>
      <c r="C784" s="1"/>
      <c r="D784" s="1"/>
      <c r="E784" s="1"/>
      <c r="F784" s="16"/>
      <c r="G784" s="1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26"/>
      <c r="C785" s="1"/>
      <c r="D785" s="1"/>
      <c r="E785" s="1"/>
      <c r="F785" s="16"/>
      <c r="G785" s="1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26"/>
      <c r="C786" s="1"/>
      <c r="D786" s="1"/>
      <c r="E786" s="1"/>
      <c r="F786" s="16"/>
      <c r="G786" s="1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26"/>
      <c r="C787" s="1"/>
      <c r="D787" s="1"/>
      <c r="E787" s="1"/>
      <c r="F787" s="16"/>
      <c r="G787" s="1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26"/>
      <c r="C788" s="1"/>
      <c r="D788" s="1"/>
      <c r="E788" s="1"/>
      <c r="F788" s="16"/>
      <c r="G788" s="1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26"/>
      <c r="C789" s="1"/>
      <c r="D789" s="1"/>
      <c r="E789" s="1"/>
      <c r="F789" s="16"/>
      <c r="G789" s="1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26"/>
      <c r="C790" s="1"/>
      <c r="D790" s="1"/>
      <c r="E790" s="1"/>
      <c r="F790" s="16"/>
      <c r="G790" s="1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26"/>
      <c r="C791" s="1"/>
      <c r="D791" s="1"/>
      <c r="E791" s="1"/>
      <c r="F791" s="16"/>
      <c r="G791" s="1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26"/>
      <c r="C792" s="1"/>
      <c r="D792" s="1"/>
      <c r="E792" s="1"/>
      <c r="F792" s="16"/>
      <c r="G792" s="1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26"/>
      <c r="C793" s="1"/>
      <c r="D793" s="1"/>
      <c r="E793" s="1"/>
      <c r="F793" s="16"/>
      <c r="G793" s="1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26"/>
      <c r="C794" s="1"/>
      <c r="D794" s="1"/>
      <c r="E794" s="1"/>
      <c r="F794" s="16"/>
      <c r="G794" s="1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26"/>
      <c r="C795" s="1"/>
      <c r="D795" s="1"/>
      <c r="E795" s="1"/>
      <c r="F795" s="16"/>
      <c r="G795" s="1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26"/>
      <c r="C796" s="1"/>
      <c r="D796" s="1"/>
      <c r="E796" s="1"/>
      <c r="F796" s="16"/>
      <c r="G796" s="1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26"/>
      <c r="C797" s="1"/>
      <c r="D797" s="1"/>
      <c r="E797" s="1"/>
      <c r="F797" s="16"/>
      <c r="G797" s="1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26"/>
      <c r="C798" s="1"/>
      <c r="D798" s="1"/>
      <c r="E798" s="1"/>
      <c r="F798" s="16"/>
      <c r="G798" s="1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26"/>
      <c r="C799" s="1"/>
      <c r="D799" s="1"/>
      <c r="E799" s="1"/>
      <c r="F799" s="16"/>
      <c r="G799" s="1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26"/>
      <c r="C800" s="1"/>
      <c r="D800" s="1"/>
      <c r="E800" s="1"/>
      <c r="F800" s="16"/>
      <c r="G800" s="1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26"/>
      <c r="C801" s="1"/>
      <c r="D801" s="1"/>
      <c r="E801" s="1"/>
      <c r="F801" s="16"/>
      <c r="G801" s="1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26"/>
      <c r="C802" s="1"/>
      <c r="D802" s="1"/>
      <c r="E802" s="1"/>
      <c r="F802" s="16"/>
      <c r="G802" s="1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26"/>
      <c r="C803" s="1"/>
      <c r="D803" s="1"/>
      <c r="E803" s="1"/>
      <c r="F803" s="16"/>
      <c r="G803" s="1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26"/>
      <c r="C804" s="1"/>
      <c r="D804" s="1"/>
      <c r="E804" s="1"/>
      <c r="F804" s="16"/>
      <c r="G804" s="1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26"/>
      <c r="C805" s="1"/>
      <c r="D805" s="1"/>
      <c r="E805" s="1"/>
      <c r="F805" s="16"/>
      <c r="G805" s="1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26"/>
      <c r="C806" s="1"/>
      <c r="D806" s="1"/>
      <c r="E806" s="1"/>
      <c r="F806" s="16"/>
      <c r="G806" s="1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26"/>
      <c r="C807" s="1"/>
      <c r="D807" s="1"/>
      <c r="E807" s="1"/>
      <c r="F807" s="16"/>
      <c r="G807" s="1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26"/>
      <c r="C808" s="1"/>
      <c r="D808" s="1"/>
      <c r="E808" s="1"/>
      <c r="F808" s="16"/>
      <c r="G808" s="1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26"/>
      <c r="C809" s="1"/>
      <c r="D809" s="1"/>
      <c r="E809" s="1"/>
      <c r="F809" s="16"/>
      <c r="G809" s="1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26"/>
      <c r="C810" s="1"/>
      <c r="D810" s="1"/>
      <c r="E810" s="1"/>
      <c r="F810" s="16"/>
      <c r="G810" s="1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26"/>
      <c r="C811" s="1"/>
      <c r="D811" s="1"/>
      <c r="E811" s="1"/>
      <c r="F811" s="16"/>
      <c r="G811" s="1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26"/>
      <c r="C812" s="1"/>
      <c r="D812" s="1"/>
      <c r="E812" s="1"/>
      <c r="F812" s="16"/>
      <c r="G812" s="1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26"/>
      <c r="C813" s="1"/>
      <c r="D813" s="1"/>
      <c r="E813" s="1"/>
      <c r="F813" s="16"/>
      <c r="G813" s="1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26"/>
      <c r="C814" s="1"/>
      <c r="D814" s="1"/>
      <c r="E814" s="1"/>
      <c r="F814" s="16"/>
      <c r="G814" s="1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26"/>
      <c r="C815" s="1"/>
      <c r="D815" s="1"/>
      <c r="E815" s="1"/>
      <c r="F815" s="16"/>
      <c r="G815" s="1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26"/>
      <c r="C816" s="1"/>
      <c r="D816" s="1"/>
      <c r="E816" s="1"/>
      <c r="F816" s="16"/>
      <c r="G816" s="1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26"/>
      <c r="C817" s="1"/>
      <c r="D817" s="1"/>
      <c r="E817" s="1"/>
      <c r="F817" s="16"/>
      <c r="G817" s="1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26"/>
      <c r="C818" s="1"/>
      <c r="D818" s="1"/>
      <c r="E818" s="1"/>
      <c r="F818" s="16"/>
      <c r="G818" s="1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26"/>
      <c r="C819" s="1"/>
      <c r="D819" s="1"/>
      <c r="E819" s="1"/>
      <c r="F819" s="16"/>
      <c r="G819" s="1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26"/>
      <c r="C820" s="1"/>
      <c r="D820" s="1"/>
      <c r="E820" s="1"/>
      <c r="F820" s="16"/>
      <c r="G820" s="1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26"/>
      <c r="C821" s="1"/>
      <c r="D821" s="1"/>
      <c r="E821" s="1"/>
      <c r="F821" s="16"/>
      <c r="G821" s="1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26"/>
      <c r="C822" s="1"/>
      <c r="D822" s="1"/>
      <c r="E822" s="1"/>
      <c r="F822" s="16"/>
      <c r="G822" s="1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26"/>
      <c r="C823" s="1"/>
      <c r="D823" s="1"/>
      <c r="E823" s="1"/>
      <c r="F823" s="16"/>
      <c r="G823" s="1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26"/>
      <c r="C824" s="1"/>
      <c r="D824" s="1"/>
      <c r="E824" s="1"/>
      <c r="F824" s="16"/>
      <c r="G824" s="1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26"/>
      <c r="C825" s="1"/>
      <c r="D825" s="1"/>
      <c r="E825" s="1"/>
      <c r="F825" s="16"/>
      <c r="G825" s="1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26"/>
      <c r="C826" s="1"/>
      <c r="D826" s="1"/>
      <c r="E826" s="1"/>
      <c r="F826" s="16"/>
      <c r="G826" s="1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26"/>
      <c r="C827" s="1"/>
      <c r="D827" s="1"/>
      <c r="E827" s="1"/>
      <c r="F827" s="16"/>
      <c r="G827" s="1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26"/>
      <c r="C828" s="1"/>
      <c r="D828" s="1"/>
      <c r="E828" s="1"/>
      <c r="F828" s="16"/>
      <c r="G828" s="1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26"/>
      <c r="C829" s="1"/>
      <c r="D829" s="1"/>
      <c r="E829" s="1"/>
      <c r="F829" s="16"/>
      <c r="G829" s="1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26"/>
      <c r="C830" s="1"/>
      <c r="D830" s="1"/>
      <c r="E830" s="1"/>
      <c r="F830" s="16"/>
      <c r="G830" s="1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26"/>
      <c r="C831" s="1"/>
      <c r="D831" s="1"/>
      <c r="E831" s="1"/>
      <c r="F831" s="16"/>
      <c r="G831" s="1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26"/>
      <c r="C832" s="1"/>
      <c r="D832" s="1"/>
      <c r="E832" s="1"/>
      <c r="F832" s="16"/>
      <c r="G832" s="1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26"/>
      <c r="C833" s="1"/>
      <c r="D833" s="1"/>
      <c r="E833" s="1"/>
      <c r="F833" s="16"/>
      <c r="G833" s="1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26"/>
      <c r="C834" s="1"/>
      <c r="D834" s="1"/>
      <c r="E834" s="1"/>
      <c r="F834" s="16"/>
      <c r="G834" s="1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26"/>
      <c r="C835" s="1"/>
      <c r="D835" s="1"/>
      <c r="E835" s="1"/>
      <c r="F835" s="16"/>
      <c r="G835" s="1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26"/>
      <c r="C836" s="1"/>
      <c r="D836" s="1"/>
      <c r="E836" s="1"/>
      <c r="F836" s="16"/>
      <c r="G836" s="1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26"/>
      <c r="C837" s="1"/>
      <c r="D837" s="1"/>
      <c r="E837" s="1"/>
      <c r="F837" s="16"/>
      <c r="G837" s="1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26"/>
      <c r="C838" s="1"/>
      <c r="D838" s="1"/>
      <c r="E838" s="1"/>
      <c r="F838" s="16"/>
      <c r="G838" s="1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26"/>
      <c r="C839" s="1"/>
      <c r="D839" s="1"/>
      <c r="E839" s="1"/>
      <c r="F839" s="16"/>
      <c r="G839" s="1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26"/>
      <c r="C840" s="1"/>
      <c r="D840" s="1"/>
      <c r="E840" s="1"/>
      <c r="F840" s="16"/>
      <c r="G840" s="1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26"/>
      <c r="C841" s="1"/>
      <c r="D841" s="1"/>
      <c r="E841" s="1"/>
      <c r="F841" s="16"/>
      <c r="G841" s="1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26"/>
      <c r="C842" s="1"/>
      <c r="D842" s="1"/>
      <c r="E842" s="1"/>
      <c r="F842" s="16"/>
      <c r="G842" s="1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26"/>
      <c r="C843" s="1"/>
      <c r="D843" s="1"/>
      <c r="E843" s="1"/>
      <c r="F843" s="16"/>
      <c r="G843" s="1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26"/>
      <c r="C844" s="1"/>
      <c r="D844" s="1"/>
      <c r="E844" s="1"/>
      <c r="F844" s="16"/>
      <c r="G844" s="1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26"/>
      <c r="C845" s="1"/>
      <c r="D845" s="1"/>
      <c r="E845" s="1"/>
      <c r="F845" s="16"/>
      <c r="G845" s="1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26"/>
      <c r="C846" s="1"/>
      <c r="D846" s="1"/>
      <c r="E846" s="1"/>
      <c r="F846" s="16"/>
      <c r="G846" s="1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26"/>
      <c r="C847" s="1"/>
      <c r="D847" s="1"/>
      <c r="E847" s="1"/>
      <c r="F847" s="16"/>
      <c r="G847" s="1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26"/>
      <c r="C848" s="1"/>
      <c r="D848" s="1"/>
      <c r="E848" s="1"/>
      <c r="F848" s="16"/>
      <c r="G848" s="1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26"/>
      <c r="C849" s="1"/>
      <c r="D849" s="1"/>
      <c r="E849" s="1"/>
      <c r="F849" s="16"/>
      <c r="G849" s="1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26"/>
      <c r="C850" s="1"/>
      <c r="D850" s="1"/>
      <c r="E850" s="1"/>
      <c r="F850" s="16"/>
      <c r="G850" s="1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26"/>
      <c r="C851" s="1"/>
      <c r="D851" s="1"/>
      <c r="E851" s="1"/>
      <c r="F851" s="16"/>
      <c r="G851" s="1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26"/>
      <c r="C852" s="1"/>
      <c r="D852" s="1"/>
      <c r="E852" s="1"/>
      <c r="F852" s="16"/>
      <c r="G852" s="1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26"/>
      <c r="C853" s="1"/>
      <c r="D853" s="1"/>
      <c r="E853" s="1"/>
      <c r="F853" s="16"/>
      <c r="G853" s="1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26"/>
      <c r="C854" s="1"/>
      <c r="D854" s="1"/>
      <c r="E854" s="1"/>
      <c r="F854" s="16"/>
      <c r="G854" s="1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26"/>
      <c r="C855" s="1"/>
      <c r="D855" s="1"/>
      <c r="E855" s="1"/>
      <c r="F855" s="16"/>
      <c r="G855" s="1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26"/>
      <c r="C856" s="1"/>
      <c r="D856" s="1"/>
      <c r="E856" s="1"/>
      <c r="F856" s="16"/>
      <c r="G856" s="1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26"/>
      <c r="C857" s="1"/>
      <c r="D857" s="1"/>
      <c r="E857" s="1"/>
      <c r="F857" s="16"/>
      <c r="G857" s="1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26"/>
      <c r="C858" s="1"/>
      <c r="D858" s="1"/>
      <c r="E858" s="1"/>
      <c r="F858" s="16"/>
      <c r="G858" s="1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26"/>
      <c r="C859" s="1"/>
      <c r="D859" s="1"/>
      <c r="E859" s="1"/>
      <c r="F859" s="16"/>
      <c r="G859" s="1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26"/>
      <c r="C860" s="1"/>
      <c r="D860" s="1"/>
      <c r="E860" s="1"/>
      <c r="F860" s="16"/>
      <c r="G860" s="1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26"/>
      <c r="C861" s="1"/>
      <c r="D861" s="1"/>
      <c r="E861" s="1"/>
      <c r="F861" s="16"/>
      <c r="G861" s="1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26"/>
      <c r="C862" s="1"/>
      <c r="D862" s="1"/>
      <c r="E862" s="1"/>
      <c r="F862" s="16"/>
      <c r="G862" s="1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26"/>
      <c r="C863" s="1"/>
      <c r="D863" s="1"/>
      <c r="E863" s="1"/>
      <c r="F863" s="16"/>
      <c r="G863" s="1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26"/>
      <c r="C864" s="1"/>
      <c r="D864" s="1"/>
      <c r="E864" s="1"/>
      <c r="F864" s="16"/>
      <c r="G864" s="1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26"/>
      <c r="C865" s="1"/>
      <c r="D865" s="1"/>
      <c r="E865" s="1"/>
      <c r="F865" s="16"/>
      <c r="G865" s="1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26"/>
      <c r="C866" s="1"/>
      <c r="D866" s="1"/>
      <c r="E866" s="1"/>
      <c r="F866" s="16"/>
      <c r="G866" s="1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26"/>
      <c r="C867" s="1"/>
      <c r="D867" s="1"/>
      <c r="E867" s="1"/>
      <c r="F867" s="16"/>
      <c r="G867" s="1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26"/>
      <c r="C868" s="1"/>
      <c r="D868" s="1"/>
      <c r="E868" s="1"/>
      <c r="F868" s="16"/>
      <c r="G868" s="1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26"/>
      <c r="C869" s="1"/>
      <c r="D869" s="1"/>
      <c r="E869" s="1"/>
      <c r="F869" s="16"/>
      <c r="G869" s="1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26"/>
      <c r="C870" s="1"/>
      <c r="D870" s="1"/>
      <c r="E870" s="1"/>
      <c r="F870" s="16"/>
      <c r="G870" s="1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26"/>
      <c r="C871" s="1"/>
      <c r="D871" s="1"/>
      <c r="E871" s="1"/>
      <c r="F871" s="16"/>
      <c r="G871" s="1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26"/>
      <c r="C872" s="1"/>
      <c r="D872" s="1"/>
      <c r="E872" s="1"/>
      <c r="F872" s="16"/>
      <c r="G872" s="1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26"/>
      <c r="C873" s="1"/>
      <c r="D873" s="1"/>
      <c r="E873" s="1"/>
      <c r="F873" s="16"/>
      <c r="G873" s="1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26"/>
      <c r="C874" s="1"/>
      <c r="D874" s="1"/>
      <c r="E874" s="1"/>
      <c r="F874" s="16"/>
      <c r="G874" s="1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26"/>
      <c r="C875" s="1"/>
      <c r="D875" s="1"/>
      <c r="E875" s="1"/>
      <c r="F875" s="16"/>
      <c r="G875" s="1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26"/>
      <c r="C876" s="1"/>
      <c r="D876" s="1"/>
      <c r="E876" s="1"/>
      <c r="F876" s="16"/>
      <c r="G876" s="1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26"/>
      <c r="C877" s="1"/>
      <c r="D877" s="1"/>
      <c r="E877" s="1"/>
      <c r="F877" s="16"/>
      <c r="G877" s="1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26"/>
      <c r="C878" s="1"/>
      <c r="D878" s="1"/>
      <c r="E878" s="1"/>
      <c r="F878" s="16"/>
      <c r="G878" s="1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26"/>
      <c r="C879" s="1"/>
      <c r="D879" s="1"/>
      <c r="E879" s="1"/>
      <c r="F879" s="16"/>
      <c r="G879" s="1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26"/>
      <c r="C880" s="1"/>
      <c r="D880" s="1"/>
      <c r="E880" s="1"/>
      <c r="F880" s="16"/>
      <c r="G880" s="1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26"/>
      <c r="C881" s="1"/>
      <c r="D881" s="1"/>
      <c r="E881" s="1"/>
      <c r="F881" s="16"/>
      <c r="G881" s="1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26"/>
      <c r="C882" s="1"/>
      <c r="D882" s="1"/>
      <c r="E882" s="1"/>
      <c r="F882" s="16"/>
      <c r="G882" s="1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26"/>
      <c r="C883" s="1"/>
      <c r="D883" s="1"/>
      <c r="E883" s="1"/>
      <c r="F883" s="16"/>
      <c r="G883" s="1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26"/>
      <c r="C884" s="1"/>
      <c r="D884" s="1"/>
      <c r="E884" s="1"/>
      <c r="F884" s="16"/>
      <c r="G884" s="1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26"/>
      <c r="C885" s="1"/>
      <c r="D885" s="1"/>
      <c r="E885" s="1"/>
      <c r="F885" s="16"/>
      <c r="G885" s="1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26"/>
      <c r="C886" s="1"/>
      <c r="D886" s="1"/>
      <c r="E886" s="1"/>
      <c r="F886" s="16"/>
      <c r="G886" s="1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26"/>
      <c r="C887" s="1"/>
      <c r="D887" s="1"/>
      <c r="E887" s="1"/>
      <c r="F887" s="16"/>
      <c r="G887" s="1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26"/>
      <c r="C888" s="1"/>
      <c r="D888" s="1"/>
      <c r="E888" s="1"/>
      <c r="F888" s="16"/>
      <c r="G888" s="1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26"/>
      <c r="C889" s="1"/>
      <c r="D889" s="1"/>
      <c r="E889" s="1"/>
      <c r="F889" s="16"/>
      <c r="G889" s="1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26"/>
      <c r="C890" s="1"/>
      <c r="D890" s="1"/>
      <c r="E890" s="1"/>
      <c r="F890" s="16"/>
      <c r="G890" s="1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26"/>
      <c r="C891" s="1"/>
      <c r="D891" s="1"/>
      <c r="E891" s="1"/>
      <c r="F891" s="16"/>
      <c r="G891" s="1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26"/>
      <c r="C892" s="1"/>
      <c r="D892" s="1"/>
      <c r="E892" s="1"/>
      <c r="F892" s="16"/>
      <c r="G892" s="1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26"/>
      <c r="C893" s="1"/>
      <c r="D893" s="1"/>
      <c r="E893" s="1"/>
      <c r="F893" s="16"/>
      <c r="G893" s="1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26"/>
      <c r="C894" s="1"/>
      <c r="D894" s="1"/>
      <c r="E894" s="1"/>
      <c r="F894" s="16"/>
      <c r="G894" s="1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26"/>
      <c r="C895" s="1"/>
      <c r="D895" s="1"/>
      <c r="E895" s="1"/>
      <c r="F895" s="16"/>
      <c r="G895" s="1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26"/>
      <c r="C896" s="1"/>
      <c r="D896" s="1"/>
      <c r="E896" s="1"/>
      <c r="F896" s="16"/>
      <c r="G896" s="1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26"/>
      <c r="C897" s="1"/>
      <c r="D897" s="1"/>
      <c r="E897" s="1"/>
      <c r="F897" s="16"/>
      <c r="G897" s="1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26"/>
      <c r="C898" s="1"/>
      <c r="D898" s="1"/>
      <c r="E898" s="1"/>
      <c r="F898" s="16"/>
      <c r="G898" s="1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26"/>
      <c r="C899" s="1"/>
      <c r="D899" s="1"/>
      <c r="E899" s="1"/>
      <c r="F899" s="16"/>
      <c r="G899" s="1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26"/>
      <c r="C900" s="1"/>
      <c r="D900" s="1"/>
      <c r="E900" s="1"/>
      <c r="F900" s="16"/>
      <c r="G900" s="1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26"/>
      <c r="C901" s="1"/>
      <c r="D901" s="1"/>
      <c r="E901" s="1"/>
      <c r="F901" s="16"/>
      <c r="G901" s="1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26"/>
      <c r="C902" s="1"/>
      <c r="D902" s="1"/>
      <c r="E902" s="1"/>
      <c r="F902" s="16"/>
      <c r="G902" s="1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26"/>
      <c r="C903" s="1"/>
      <c r="D903" s="1"/>
      <c r="E903" s="1"/>
      <c r="F903" s="16"/>
      <c r="G903" s="1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26"/>
      <c r="C904" s="1"/>
      <c r="D904" s="1"/>
      <c r="E904" s="1"/>
      <c r="F904" s="16"/>
      <c r="G904" s="1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26"/>
      <c r="C905" s="1"/>
      <c r="D905" s="1"/>
      <c r="E905" s="1"/>
      <c r="F905" s="16"/>
      <c r="G905" s="1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26"/>
      <c r="C906" s="1"/>
      <c r="D906" s="1"/>
      <c r="E906" s="1"/>
      <c r="F906" s="16"/>
      <c r="G906" s="1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26"/>
      <c r="C907" s="1"/>
      <c r="D907" s="1"/>
      <c r="E907" s="1"/>
      <c r="F907" s="16"/>
      <c r="G907" s="1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26"/>
      <c r="C908" s="1"/>
      <c r="D908" s="1"/>
      <c r="E908" s="1"/>
      <c r="F908" s="16"/>
      <c r="G908" s="1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26"/>
      <c r="C909" s="1"/>
      <c r="D909" s="1"/>
      <c r="E909" s="1"/>
      <c r="F909" s="16"/>
      <c r="G909" s="1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26"/>
      <c r="C910" s="1"/>
      <c r="D910" s="1"/>
      <c r="E910" s="1"/>
      <c r="F910" s="16"/>
      <c r="G910" s="1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26"/>
      <c r="C911" s="1"/>
      <c r="D911" s="1"/>
      <c r="E911" s="1"/>
      <c r="F911" s="16"/>
      <c r="G911" s="1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26"/>
      <c r="C912" s="1"/>
      <c r="D912" s="1"/>
      <c r="E912" s="1"/>
      <c r="F912" s="16"/>
      <c r="G912" s="1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26"/>
      <c r="C913" s="1"/>
      <c r="D913" s="1"/>
      <c r="E913" s="1"/>
      <c r="F913" s="16"/>
      <c r="G913" s="1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26"/>
      <c r="C914" s="1"/>
      <c r="D914" s="1"/>
      <c r="E914" s="1"/>
      <c r="F914" s="16"/>
      <c r="G914" s="1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26"/>
      <c r="C915" s="1"/>
      <c r="D915" s="1"/>
      <c r="E915" s="1"/>
      <c r="F915" s="16"/>
      <c r="G915" s="1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26"/>
      <c r="C916" s="1"/>
      <c r="D916" s="1"/>
      <c r="E916" s="1"/>
      <c r="F916" s="16"/>
      <c r="G916" s="1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26"/>
      <c r="C917" s="1"/>
      <c r="D917" s="1"/>
      <c r="E917" s="1"/>
      <c r="F917" s="16"/>
      <c r="G917" s="1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26"/>
      <c r="C918" s="1"/>
      <c r="D918" s="1"/>
      <c r="E918" s="1"/>
      <c r="F918" s="16"/>
      <c r="G918" s="1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26"/>
      <c r="C919" s="1"/>
      <c r="D919" s="1"/>
      <c r="E919" s="1"/>
      <c r="F919" s="16"/>
      <c r="G919" s="1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26"/>
      <c r="C920" s="1"/>
      <c r="D920" s="1"/>
      <c r="E920" s="1"/>
      <c r="F920" s="16"/>
      <c r="G920" s="1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26"/>
      <c r="C921" s="1"/>
      <c r="D921" s="1"/>
      <c r="E921" s="1"/>
      <c r="F921" s="16"/>
      <c r="G921" s="1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26"/>
      <c r="C922" s="1"/>
      <c r="D922" s="1"/>
      <c r="E922" s="1"/>
      <c r="F922" s="16"/>
      <c r="G922" s="1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26"/>
      <c r="C923" s="1"/>
      <c r="D923" s="1"/>
      <c r="E923" s="1"/>
      <c r="F923" s="16"/>
      <c r="G923" s="1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26"/>
      <c r="C924" s="1"/>
      <c r="D924" s="1"/>
      <c r="E924" s="1"/>
      <c r="F924" s="16"/>
      <c r="G924" s="1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26"/>
      <c r="C925" s="1"/>
      <c r="D925" s="1"/>
      <c r="E925" s="1"/>
      <c r="F925" s="16"/>
      <c r="G925" s="1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26"/>
      <c r="C926" s="1"/>
      <c r="D926" s="1"/>
      <c r="E926" s="1"/>
      <c r="F926" s="16"/>
      <c r="G926" s="1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26"/>
      <c r="C927" s="1"/>
      <c r="D927" s="1"/>
      <c r="E927" s="1"/>
      <c r="F927" s="16"/>
      <c r="G927" s="1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26"/>
      <c r="C928" s="1"/>
      <c r="D928" s="1"/>
      <c r="E928" s="1"/>
      <c r="F928" s="16"/>
      <c r="G928" s="1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26"/>
      <c r="C929" s="1"/>
      <c r="D929" s="1"/>
      <c r="E929" s="1"/>
      <c r="F929" s="16"/>
      <c r="G929" s="1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26"/>
      <c r="C930" s="1"/>
      <c r="D930" s="1"/>
      <c r="E930" s="1"/>
      <c r="F930" s="16"/>
      <c r="G930" s="1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26"/>
      <c r="C931" s="1"/>
      <c r="D931" s="1"/>
      <c r="E931" s="1"/>
      <c r="F931" s="16"/>
      <c r="G931" s="1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26"/>
      <c r="C932" s="1"/>
      <c r="D932" s="1"/>
      <c r="E932" s="1"/>
      <c r="F932" s="16"/>
      <c r="G932" s="1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26"/>
      <c r="C933" s="1"/>
      <c r="D933" s="1"/>
      <c r="E933" s="1"/>
      <c r="F933" s="16"/>
      <c r="G933" s="1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26"/>
      <c r="C934" s="1"/>
      <c r="D934" s="1"/>
      <c r="E934" s="1"/>
      <c r="F934" s="16"/>
      <c r="G934" s="1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26"/>
      <c r="C935" s="1"/>
      <c r="D935" s="1"/>
      <c r="E935" s="1"/>
      <c r="F935" s="16"/>
      <c r="G935" s="1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26"/>
      <c r="C936" s="1"/>
      <c r="D936" s="1"/>
      <c r="E936" s="1"/>
      <c r="F936" s="16"/>
      <c r="G936" s="1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26"/>
      <c r="C937" s="1"/>
      <c r="D937" s="1"/>
      <c r="E937" s="1"/>
      <c r="F937" s="16"/>
      <c r="G937" s="1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26"/>
      <c r="C938" s="1"/>
      <c r="D938" s="1"/>
      <c r="E938" s="1"/>
      <c r="F938" s="16"/>
      <c r="G938" s="1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26"/>
      <c r="C939" s="1"/>
      <c r="D939" s="1"/>
      <c r="E939" s="1"/>
      <c r="F939" s="16"/>
      <c r="G939" s="1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26"/>
      <c r="C940" s="1"/>
      <c r="D940" s="1"/>
      <c r="E940" s="1"/>
      <c r="F940" s="16"/>
      <c r="G940" s="1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26"/>
      <c r="C941" s="1"/>
      <c r="D941" s="1"/>
      <c r="E941" s="1"/>
      <c r="F941" s="16"/>
      <c r="G941" s="1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26"/>
      <c r="C942" s="1"/>
      <c r="D942" s="1"/>
      <c r="E942" s="1"/>
      <c r="F942" s="16"/>
      <c r="G942" s="1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26"/>
      <c r="C943" s="1"/>
      <c r="D943" s="1"/>
      <c r="E943" s="1"/>
      <c r="F943" s="16"/>
      <c r="G943" s="1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26"/>
      <c r="C944" s="1"/>
      <c r="D944" s="1"/>
      <c r="E944" s="1"/>
      <c r="F944" s="16"/>
      <c r="G944" s="1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26"/>
      <c r="C945" s="1"/>
      <c r="D945" s="1"/>
      <c r="E945" s="1"/>
      <c r="F945" s="16"/>
      <c r="G945" s="1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26"/>
      <c r="C946" s="1"/>
      <c r="D946" s="1"/>
      <c r="E946" s="1"/>
      <c r="F946" s="16"/>
      <c r="G946" s="1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26"/>
      <c r="C947" s="1"/>
      <c r="D947" s="1"/>
      <c r="E947" s="1"/>
      <c r="F947" s="16"/>
      <c r="G947" s="1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26"/>
      <c r="C948" s="1"/>
      <c r="D948" s="1"/>
      <c r="E948" s="1"/>
      <c r="F948" s="16"/>
      <c r="G948" s="1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26"/>
      <c r="C949" s="1"/>
      <c r="D949" s="1"/>
      <c r="E949" s="1"/>
      <c r="F949" s="16"/>
      <c r="G949" s="1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26"/>
      <c r="C950" s="1"/>
      <c r="D950" s="1"/>
      <c r="E950" s="1"/>
      <c r="F950" s="16"/>
      <c r="G950" s="1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26"/>
      <c r="C951" s="1"/>
      <c r="D951" s="1"/>
      <c r="E951" s="1"/>
      <c r="F951" s="16"/>
      <c r="G951" s="1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26"/>
      <c r="C952" s="1"/>
      <c r="D952" s="1"/>
      <c r="E952" s="1"/>
      <c r="F952" s="16"/>
      <c r="G952" s="1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26"/>
      <c r="C953" s="1"/>
      <c r="D953" s="1"/>
      <c r="E953" s="1"/>
      <c r="F953" s="16"/>
      <c r="G953" s="1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26"/>
      <c r="C954" s="1"/>
      <c r="D954" s="1"/>
      <c r="E954" s="1"/>
      <c r="F954" s="16"/>
      <c r="G954" s="1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26"/>
      <c r="C955" s="1"/>
      <c r="D955" s="1"/>
      <c r="E955" s="1"/>
      <c r="F955" s="16"/>
      <c r="G955" s="1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26"/>
      <c r="C956" s="1"/>
      <c r="D956" s="1"/>
      <c r="E956" s="1"/>
      <c r="F956" s="16"/>
      <c r="G956" s="1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26"/>
      <c r="C957" s="1"/>
      <c r="D957" s="1"/>
      <c r="E957" s="1"/>
      <c r="F957" s="16"/>
      <c r="G957" s="1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26"/>
      <c r="C958" s="1"/>
      <c r="D958" s="1"/>
      <c r="E958" s="1"/>
      <c r="F958" s="16"/>
      <c r="G958" s="1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26"/>
      <c r="C959" s="1"/>
      <c r="D959" s="1"/>
      <c r="E959" s="1"/>
      <c r="F959" s="16"/>
      <c r="G959" s="1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26"/>
      <c r="C960" s="1"/>
      <c r="D960" s="1"/>
      <c r="E960" s="1"/>
      <c r="F960" s="16"/>
      <c r="G960" s="1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26"/>
      <c r="C961" s="1"/>
      <c r="D961" s="1"/>
      <c r="E961" s="1"/>
      <c r="F961" s="16"/>
      <c r="G961" s="1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26"/>
      <c r="C962" s="1"/>
      <c r="D962" s="1"/>
      <c r="E962" s="1"/>
      <c r="F962" s="16"/>
      <c r="G962" s="1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26"/>
      <c r="C963" s="1"/>
      <c r="D963" s="1"/>
      <c r="E963" s="1"/>
      <c r="F963" s="16"/>
      <c r="G963" s="1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26"/>
      <c r="C964" s="1"/>
      <c r="D964" s="1"/>
      <c r="E964" s="1"/>
      <c r="F964" s="16"/>
      <c r="G964" s="1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26"/>
      <c r="C965" s="1"/>
      <c r="D965" s="1"/>
      <c r="E965" s="1"/>
      <c r="F965" s="16"/>
      <c r="G965" s="1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26"/>
      <c r="C966" s="1"/>
      <c r="D966" s="1"/>
      <c r="E966" s="1"/>
      <c r="F966" s="16"/>
      <c r="G966" s="1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26"/>
      <c r="C967" s="1"/>
      <c r="D967" s="1"/>
      <c r="E967" s="1"/>
      <c r="F967" s="16"/>
      <c r="G967" s="1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26"/>
      <c r="C968" s="1"/>
      <c r="D968" s="1"/>
      <c r="E968" s="1"/>
      <c r="F968" s="16"/>
      <c r="G968" s="1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26"/>
      <c r="C969" s="1"/>
      <c r="D969" s="1"/>
      <c r="E969" s="1"/>
      <c r="F969" s="16"/>
      <c r="G969" s="1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26"/>
      <c r="C970" s="1"/>
      <c r="D970" s="1"/>
      <c r="E970" s="1"/>
      <c r="F970" s="16"/>
      <c r="G970" s="1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26"/>
      <c r="C971" s="1"/>
      <c r="D971" s="1"/>
      <c r="E971" s="1"/>
      <c r="F971" s="16"/>
      <c r="G971" s="1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26"/>
      <c r="C972" s="1"/>
      <c r="D972" s="1"/>
      <c r="E972" s="1"/>
      <c r="F972" s="16"/>
      <c r="G972" s="1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26"/>
      <c r="C973" s="1"/>
      <c r="D973" s="1"/>
      <c r="E973" s="1"/>
      <c r="F973" s="16"/>
      <c r="G973" s="1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26"/>
      <c r="C974" s="1"/>
      <c r="D974" s="1"/>
      <c r="E974" s="1"/>
      <c r="F974" s="16"/>
      <c r="G974" s="1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26"/>
      <c r="C975" s="1"/>
      <c r="D975" s="1"/>
      <c r="E975" s="1"/>
      <c r="F975" s="16"/>
      <c r="G975" s="1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26"/>
      <c r="C976" s="1"/>
      <c r="D976" s="1"/>
      <c r="E976" s="1"/>
      <c r="F976" s="16"/>
      <c r="G976" s="1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26"/>
      <c r="C977" s="1"/>
      <c r="D977" s="1"/>
      <c r="E977" s="1"/>
      <c r="F977" s="16"/>
      <c r="G977" s="1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26"/>
      <c r="C978" s="1"/>
      <c r="D978" s="1"/>
      <c r="E978" s="1"/>
      <c r="F978" s="16"/>
      <c r="G978" s="1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26"/>
      <c r="C979" s="1"/>
      <c r="D979" s="1"/>
      <c r="E979" s="1"/>
      <c r="F979" s="16"/>
      <c r="G979" s="1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26"/>
      <c r="C980" s="1"/>
      <c r="D980" s="1"/>
      <c r="E980" s="1"/>
      <c r="F980" s="16"/>
      <c r="G980" s="1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26"/>
      <c r="C981" s="1"/>
      <c r="D981" s="1"/>
      <c r="E981" s="1"/>
      <c r="F981" s="16"/>
      <c r="G981" s="1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26"/>
      <c r="C982" s="1"/>
      <c r="D982" s="1"/>
      <c r="E982" s="1"/>
      <c r="F982" s="16"/>
      <c r="G982" s="1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26"/>
      <c r="C983" s="1"/>
      <c r="D983" s="1"/>
      <c r="E983" s="1"/>
      <c r="F983" s="16"/>
      <c r="G983" s="1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26"/>
      <c r="C984" s="1"/>
      <c r="D984" s="1"/>
      <c r="E984" s="1"/>
      <c r="F984" s="16"/>
      <c r="G984" s="1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26"/>
      <c r="C985" s="1"/>
      <c r="D985" s="1"/>
      <c r="E985" s="1"/>
      <c r="F985" s="16"/>
      <c r="G985" s="1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26"/>
      <c r="C986" s="1"/>
      <c r="D986" s="1"/>
      <c r="E986" s="1"/>
      <c r="F986" s="16"/>
      <c r="G986" s="18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26"/>
      <c r="C987" s="1"/>
      <c r="D987" s="1"/>
      <c r="E987" s="1"/>
      <c r="F987" s="16"/>
      <c r="G987" s="18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26"/>
      <c r="C988" s="1"/>
      <c r="D988" s="1"/>
      <c r="E988" s="1"/>
      <c r="F988" s="16"/>
      <c r="G988" s="18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26"/>
      <c r="C989" s="1"/>
      <c r="D989" s="1"/>
      <c r="E989" s="1"/>
      <c r="F989" s="16"/>
      <c r="G989" s="18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26"/>
      <c r="C990" s="1"/>
      <c r="D990" s="1"/>
      <c r="E990" s="1"/>
      <c r="F990" s="16"/>
      <c r="G990" s="18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26"/>
      <c r="C991" s="1"/>
      <c r="D991" s="1"/>
      <c r="E991" s="1"/>
      <c r="F991" s="16"/>
      <c r="G991" s="18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26"/>
      <c r="C992" s="1"/>
      <c r="D992" s="1"/>
      <c r="E992" s="1"/>
      <c r="F992" s="16"/>
      <c r="G992" s="18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26"/>
      <c r="C993" s="1"/>
      <c r="D993" s="1"/>
      <c r="E993" s="1"/>
      <c r="F993" s="16"/>
      <c r="G993" s="18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26"/>
      <c r="C994" s="1"/>
      <c r="D994" s="1"/>
      <c r="E994" s="1"/>
      <c r="F994" s="16"/>
      <c r="G994" s="18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26"/>
      <c r="C995" s="1"/>
      <c r="D995" s="1"/>
      <c r="E995" s="1"/>
      <c r="F995" s="16"/>
      <c r="G995" s="18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26"/>
      <c r="C996" s="1"/>
      <c r="D996" s="1"/>
      <c r="E996" s="1"/>
      <c r="F996" s="16"/>
      <c r="G996" s="18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26"/>
      <c r="C997" s="1"/>
      <c r="D997" s="1"/>
      <c r="E997" s="1"/>
      <c r="F997" s="16"/>
      <c r="G997" s="18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26"/>
      <c r="C998" s="1"/>
      <c r="D998" s="1"/>
      <c r="E998" s="1"/>
      <c r="F998" s="16"/>
      <c r="G998" s="18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 x14ac:dyDescent="0.25">
      <c r="A999" s="1"/>
      <c r="B999" s="126"/>
      <c r="C999" s="1"/>
      <c r="D999" s="1"/>
      <c r="E999" s="1"/>
      <c r="F999" s="16"/>
      <c r="G999" s="18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 x14ac:dyDescent="0.25">
      <c r="A1000" s="1"/>
      <c r="B1000" s="126"/>
      <c r="C1000" s="1"/>
      <c r="D1000" s="1"/>
      <c r="E1000" s="1"/>
      <c r="F1000" s="16"/>
      <c r="G1000" s="18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">
    <mergeCell ref="C1:E1"/>
    <mergeCell ref="F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T1017"/>
  <sheetViews>
    <sheetView workbookViewId="0">
      <pane ySplit="2" topLeftCell="A3" activePane="bottomLeft" state="frozen"/>
      <selection pane="bottomLeft" activeCell="M6" sqref="M6"/>
    </sheetView>
  </sheetViews>
  <sheetFormatPr defaultColWidth="12.6640625" defaultRowHeight="15.75" customHeight="1" x14ac:dyDescent="0.25"/>
  <cols>
    <col min="1" max="1" width="4" customWidth="1"/>
    <col min="4" max="4" width="12.21875" customWidth="1"/>
    <col min="5" max="5" width="16.77734375" customWidth="1"/>
    <col min="6" max="6" width="22.44140625" customWidth="1"/>
  </cols>
  <sheetData>
    <row r="1" spans="1:20" ht="30.75" customHeight="1" x14ac:dyDescent="0.25">
      <c r="A1" s="1"/>
      <c r="B1" s="155"/>
      <c r="C1" s="155"/>
      <c r="D1" s="170" t="s">
        <v>0</v>
      </c>
      <c r="E1" s="171"/>
      <c r="F1" s="170" t="s">
        <v>1</v>
      </c>
      <c r="G1" s="17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6" customHeight="1" x14ac:dyDescent="0.25">
      <c r="A2" s="1"/>
      <c r="B2" s="156" t="s">
        <v>4</v>
      </c>
      <c r="C2" s="156" t="s">
        <v>2337</v>
      </c>
      <c r="D2" s="5" t="s">
        <v>5</v>
      </c>
      <c r="E2" s="157" t="s">
        <v>6</v>
      </c>
      <c r="F2" s="158" t="s">
        <v>5</v>
      </c>
      <c r="G2" s="8">
        <v>46235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5.8" x14ac:dyDescent="0.25">
      <c r="A3" s="1"/>
      <c r="B3" s="120" t="s">
        <v>2338</v>
      </c>
      <c r="C3" s="159"/>
      <c r="D3" s="159"/>
      <c r="E3" s="16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2" x14ac:dyDescent="0.25">
      <c r="A4" s="1"/>
      <c r="B4" s="129" t="s">
        <v>1928</v>
      </c>
      <c r="C4" s="162"/>
      <c r="D4" s="163"/>
      <c r="E4" s="164"/>
      <c r="F4" s="16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25">
      <c r="A5" s="32"/>
      <c r="B5" s="64" t="s">
        <v>474</v>
      </c>
      <c r="C5" s="64" t="s">
        <v>10</v>
      </c>
      <c r="D5" s="22" t="s">
        <v>2339</v>
      </c>
      <c r="E5" s="165">
        <v>14.9</v>
      </c>
      <c r="F5" s="150" t="s">
        <v>2340</v>
      </c>
      <c r="G5" s="136">
        <v>11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15.6" x14ac:dyDescent="0.25">
      <c r="A6" s="32"/>
      <c r="B6" s="60" t="s">
        <v>478</v>
      </c>
      <c r="C6" s="60" t="s">
        <v>16</v>
      </c>
      <c r="D6" s="26" t="s">
        <v>2341</v>
      </c>
      <c r="E6" s="165">
        <v>19.600000000000001</v>
      </c>
      <c r="F6" s="150" t="s">
        <v>2342</v>
      </c>
      <c r="G6" s="136">
        <v>15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5.6" x14ac:dyDescent="0.25">
      <c r="A7" s="32"/>
      <c r="B7" s="60" t="s">
        <v>483</v>
      </c>
      <c r="C7" s="60" t="s">
        <v>21</v>
      </c>
      <c r="D7" s="26" t="s">
        <v>2343</v>
      </c>
      <c r="E7" s="165">
        <v>35.799999999999997</v>
      </c>
      <c r="F7" s="150" t="s">
        <v>2344</v>
      </c>
      <c r="G7" s="136">
        <v>26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ht="15.6" x14ac:dyDescent="0.25">
      <c r="A8" s="32"/>
      <c r="B8" s="60" t="s">
        <v>2345</v>
      </c>
      <c r="C8" s="60" t="s">
        <v>27</v>
      </c>
      <c r="D8" s="26" t="s">
        <v>2346</v>
      </c>
      <c r="E8" s="165">
        <v>51.8</v>
      </c>
      <c r="F8" s="150" t="s">
        <v>2347</v>
      </c>
      <c r="G8" s="136">
        <v>38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ht="15.6" x14ac:dyDescent="0.25">
      <c r="A9" s="32"/>
      <c r="B9" s="60" t="s">
        <v>2348</v>
      </c>
      <c r="C9" s="60" t="s">
        <v>33</v>
      </c>
      <c r="D9" s="26" t="s">
        <v>2349</v>
      </c>
      <c r="E9" s="165">
        <v>83.4</v>
      </c>
      <c r="F9" s="150" t="s">
        <v>2350</v>
      </c>
      <c r="G9" s="136">
        <v>60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ht="15.6" x14ac:dyDescent="0.25">
      <c r="A10" s="32"/>
      <c r="B10" s="60" t="s">
        <v>2351</v>
      </c>
      <c r="C10" s="60" t="s">
        <v>38</v>
      </c>
      <c r="D10" s="26" t="s">
        <v>2352</v>
      </c>
      <c r="E10" s="165">
        <v>155.80000000000001</v>
      </c>
      <c r="F10" s="150"/>
      <c r="G10" s="136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ht="15.6" x14ac:dyDescent="0.25">
      <c r="A11" s="32"/>
      <c r="B11" s="60" t="s">
        <v>2353</v>
      </c>
      <c r="C11" s="60" t="s">
        <v>54</v>
      </c>
      <c r="D11" s="26" t="s">
        <v>2354</v>
      </c>
      <c r="E11" s="166">
        <v>329.8</v>
      </c>
      <c r="F11" s="150"/>
      <c r="G11" s="136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0" ht="15.6" x14ac:dyDescent="0.25">
      <c r="A12" s="32"/>
      <c r="B12" s="60" t="s">
        <v>2355</v>
      </c>
      <c r="C12" s="60" t="s">
        <v>2356</v>
      </c>
      <c r="D12" s="26" t="s">
        <v>2357</v>
      </c>
      <c r="E12" s="165">
        <v>494.8</v>
      </c>
      <c r="F12" s="150"/>
      <c r="G12" s="136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ht="15.6" x14ac:dyDescent="0.25">
      <c r="A13" s="32"/>
      <c r="B13" s="60" t="s">
        <v>2358</v>
      </c>
      <c r="C13" s="60" t="s">
        <v>2359</v>
      </c>
      <c r="D13" s="26" t="s">
        <v>2360</v>
      </c>
      <c r="E13" s="166">
        <v>1038.8</v>
      </c>
      <c r="F13" s="150"/>
      <c r="G13" s="136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0" ht="15.6" x14ac:dyDescent="0.25">
      <c r="A14" s="32"/>
      <c r="B14" s="60" t="s">
        <v>2361</v>
      </c>
      <c r="C14" s="60" t="s">
        <v>2362</v>
      </c>
      <c r="D14" s="26" t="s">
        <v>2363</v>
      </c>
      <c r="E14" s="165">
        <v>1976.8</v>
      </c>
      <c r="F14" s="150"/>
      <c r="G14" s="136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ht="19.2" x14ac:dyDescent="0.25">
      <c r="A15" s="1"/>
      <c r="B15" s="129" t="s">
        <v>422</v>
      </c>
      <c r="C15" s="162"/>
      <c r="D15" s="163"/>
      <c r="E15" s="164"/>
      <c r="F15" s="161"/>
      <c r="G15" s="16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6" x14ac:dyDescent="0.25">
      <c r="A16" s="32"/>
      <c r="B16" s="60" t="s">
        <v>104</v>
      </c>
      <c r="C16" s="60" t="s">
        <v>43</v>
      </c>
      <c r="D16" s="26" t="s">
        <v>2364</v>
      </c>
      <c r="E16" s="165">
        <v>17.399999999999999</v>
      </c>
      <c r="F16" s="168" t="s">
        <v>2365</v>
      </c>
      <c r="G16" s="136">
        <v>13.25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ht="15.6" x14ac:dyDescent="0.25">
      <c r="A17" s="32"/>
      <c r="B17" s="60" t="s">
        <v>201</v>
      </c>
      <c r="C17" s="60" t="s">
        <v>172</v>
      </c>
      <c r="D17" s="26" t="s">
        <v>2366</v>
      </c>
      <c r="E17" s="165">
        <v>27.8</v>
      </c>
      <c r="F17" s="168" t="s">
        <v>2367</v>
      </c>
      <c r="G17" s="136">
        <v>20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ht="15.6" x14ac:dyDescent="0.25">
      <c r="A18" s="32"/>
      <c r="B18" s="60" t="s">
        <v>211</v>
      </c>
      <c r="C18" s="60" t="s">
        <v>102</v>
      </c>
      <c r="D18" s="26" t="s">
        <v>2368</v>
      </c>
      <c r="E18" s="165">
        <v>36.799999999999997</v>
      </c>
      <c r="F18" s="168" t="s">
        <v>2369</v>
      </c>
      <c r="G18" s="136">
        <v>27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1:20" ht="15.6" x14ac:dyDescent="0.25">
      <c r="A19" s="32"/>
      <c r="B19" s="60" t="s">
        <v>227</v>
      </c>
      <c r="C19" s="60" t="s">
        <v>192</v>
      </c>
      <c r="D19" s="26" t="s">
        <v>2370</v>
      </c>
      <c r="E19" s="166">
        <v>44.2</v>
      </c>
      <c r="F19" s="168"/>
      <c r="G19" s="136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ht="15.6" x14ac:dyDescent="0.25">
      <c r="A20" s="32"/>
      <c r="B20" s="60" t="s">
        <v>234</v>
      </c>
      <c r="C20" s="60" t="s">
        <v>200</v>
      </c>
      <c r="D20" s="26" t="s">
        <v>2371</v>
      </c>
      <c r="E20" s="166">
        <v>44.8</v>
      </c>
      <c r="F20" s="168" t="s">
        <v>2372</v>
      </c>
      <c r="G20" s="136">
        <v>33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ht="15.6" x14ac:dyDescent="0.25">
      <c r="A21" s="32"/>
      <c r="B21" s="60" t="s">
        <v>241</v>
      </c>
      <c r="C21" s="60" t="s">
        <v>210</v>
      </c>
      <c r="D21" s="26" t="s">
        <v>2373</v>
      </c>
      <c r="E21" s="165">
        <v>48.4</v>
      </c>
      <c r="F21" s="168" t="s">
        <v>2374</v>
      </c>
      <c r="G21" s="136">
        <v>34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spans="1:20" ht="15.6" x14ac:dyDescent="0.25">
      <c r="A22" s="32"/>
      <c r="B22" s="60" t="s">
        <v>450</v>
      </c>
      <c r="C22" s="60" t="s">
        <v>220</v>
      </c>
      <c r="D22" s="26" t="s">
        <v>2375</v>
      </c>
      <c r="E22" s="166">
        <v>72.79849999999999</v>
      </c>
      <c r="F22" s="168"/>
      <c r="G22" s="136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ht="15.6" x14ac:dyDescent="0.25">
      <c r="A23" s="32"/>
      <c r="B23" s="60" t="s">
        <v>454</v>
      </c>
      <c r="C23" s="60" t="s">
        <v>226</v>
      </c>
      <c r="D23" s="26" t="s">
        <v>2376</v>
      </c>
      <c r="E23" s="166">
        <v>77.400000000000006</v>
      </c>
      <c r="F23" s="168" t="s">
        <v>2377</v>
      </c>
      <c r="G23" s="136">
        <v>56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5.6" x14ac:dyDescent="0.25">
      <c r="A24" s="32"/>
      <c r="B24" s="60" t="s">
        <v>459</v>
      </c>
      <c r="C24" s="60" t="s">
        <v>233</v>
      </c>
      <c r="D24" s="26" t="s">
        <v>2378</v>
      </c>
      <c r="E24" s="166">
        <v>78.599999999999994</v>
      </c>
      <c r="F24" s="168" t="s">
        <v>2379</v>
      </c>
      <c r="G24" s="136">
        <v>57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1:20" ht="15.6" x14ac:dyDescent="0.25">
      <c r="A25" s="32"/>
      <c r="B25" s="60" t="s">
        <v>464</v>
      </c>
      <c r="C25" s="60" t="s">
        <v>240</v>
      </c>
      <c r="D25" s="26" t="s">
        <v>2380</v>
      </c>
      <c r="E25" s="165">
        <v>83.4</v>
      </c>
      <c r="F25" s="168" t="s">
        <v>2381</v>
      </c>
      <c r="G25" s="136">
        <v>60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ht="15.6" x14ac:dyDescent="0.25">
      <c r="A26" s="32"/>
      <c r="B26" s="60" t="s">
        <v>2382</v>
      </c>
      <c r="C26" s="60" t="s">
        <v>449</v>
      </c>
      <c r="D26" s="26" t="s">
        <v>2383</v>
      </c>
      <c r="E26" s="166">
        <v>132.80000000000001</v>
      </c>
      <c r="F26" s="168"/>
      <c r="G26" s="136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1:20" ht="15.6" x14ac:dyDescent="0.25">
      <c r="A27" s="32"/>
      <c r="B27" s="60" t="s">
        <v>2384</v>
      </c>
      <c r="C27" s="60" t="s">
        <v>453</v>
      </c>
      <c r="D27" s="26" t="s">
        <v>2385</v>
      </c>
      <c r="E27" s="166">
        <v>143.4</v>
      </c>
      <c r="F27" s="168"/>
      <c r="G27" s="136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spans="1:20" ht="15.6" x14ac:dyDescent="0.25">
      <c r="A28" s="32"/>
      <c r="B28" s="60" t="s">
        <v>2386</v>
      </c>
      <c r="C28" s="60" t="s">
        <v>458</v>
      </c>
      <c r="D28" s="26" t="s">
        <v>2387</v>
      </c>
      <c r="E28" s="166">
        <v>165.4</v>
      </c>
      <c r="F28" s="168"/>
      <c r="G28" s="136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spans="1:20" ht="15.6" x14ac:dyDescent="0.25">
      <c r="A29" s="32"/>
      <c r="B29" s="60" t="s">
        <v>2388</v>
      </c>
      <c r="C29" s="60" t="s">
        <v>463</v>
      </c>
      <c r="D29" s="26" t="s">
        <v>2389</v>
      </c>
      <c r="E29" s="165">
        <v>166.40350000000001</v>
      </c>
      <c r="F29" s="168"/>
      <c r="G29" s="136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spans="1:20" ht="15.6" x14ac:dyDescent="0.25">
      <c r="A30" s="32"/>
      <c r="B30" s="60" t="s">
        <v>2390</v>
      </c>
      <c r="C30" s="60" t="s">
        <v>569</v>
      </c>
      <c r="D30" s="26" t="s">
        <v>2391</v>
      </c>
      <c r="E30" s="165">
        <v>836</v>
      </c>
      <c r="F30" s="168"/>
      <c r="G30" s="136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spans="1:20" ht="19.2" x14ac:dyDescent="0.25">
      <c r="A31" s="1"/>
      <c r="B31" s="129" t="s">
        <v>2392</v>
      </c>
      <c r="C31" s="162"/>
      <c r="D31" s="163"/>
      <c r="E31" s="164"/>
      <c r="F31" s="161"/>
      <c r="G31" s="16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6" x14ac:dyDescent="0.25">
      <c r="A32" s="32"/>
      <c r="B32" s="60" t="s">
        <v>2393</v>
      </c>
      <c r="C32" s="60" t="s">
        <v>318</v>
      </c>
      <c r="D32" s="26" t="s">
        <v>2394</v>
      </c>
      <c r="E32" s="166">
        <v>156.4</v>
      </c>
      <c r="F32" s="168"/>
      <c r="G32" s="136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spans="1:20" ht="15.6" x14ac:dyDescent="0.25">
      <c r="A33" s="32"/>
      <c r="B33" s="60" t="s">
        <v>2395</v>
      </c>
      <c r="C33" s="60" t="s">
        <v>43</v>
      </c>
      <c r="D33" s="26" t="s">
        <v>2396</v>
      </c>
      <c r="E33" s="166">
        <v>162.6</v>
      </c>
      <c r="F33" s="168" t="s">
        <v>2397</v>
      </c>
      <c r="G33" s="136">
        <v>140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</row>
    <row r="34" spans="1:20" ht="19.2" x14ac:dyDescent="0.25">
      <c r="A34" s="1"/>
      <c r="B34" s="129" t="s">
        <v>2398</v>
      </c>
      <c r="C34" s="162"/>
      <c r="D34" s="163"/>
      <c r="E34" s="164"/>
      <c r="F34" s="161"/>
      <c r="G34" s="16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6" x14ac:dyDescent="0.25">
      <c r="A35" s="32"/>
      <c r="B35" s="60" t="s">
        <v>2393</v>
      </c>
      <c r="C35" s="60" t="s">
        <v>318</v>
      </c>
      <c r="D35" s="26" t="s">
        <v>2399</v>
      </c>
      <c r="E35" s="165">
        <v>159.80000000000001</v>
      </c>
      <c r="F35" s="168"/>
      <c r="G35" s="136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spans="1:20" ht="15.6" x14ac:dyDescent="0.25">
      <c r="A36" s="32"/>
      <c r="B36" s="60" t="s">
        <v>2395</v>
      </c>
      <c r="C36" s="60" t="s">
        <v>43</v>
      </c>
      <c r="D36" s="26" t="s">
        <v>2400</v>
      </c>
      <c r="E36" s="165">
        <v>178.4</v>
      </c>
      <c r="F36" s="168" t="s">
        <v>2401</v>
      </c>
      <c r="G36" s="136">
        <v>160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spans="1:20" ht="15.6" x14ac:dyDescent="0.25">
      <c r="A37" s="32"/>
      <c r="B37" s="60" t="s">
        <v>2402</v>
      </c>
      <c r="C37" s="60" t="s">
        <v>764</v>
      </c>
      <c r="D37" s="26" t="s">
        <v>2403</v>
      </c>
      <c r="E37" s="166">
        <v>374.6</v>
      </c>
      <c r="F37" s="168" t="s">
        <v>2404</v>
      </c>
      <c r="G37" s="136">
        <v>295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spans="1:20" ht="15.6" x14ac:dyDescent="0.25">
      <c r="A38" s="32"/>
      <c r="B38" s="60" t="s">
        <v>2405</v>
      </c>
      <c r="C38" s="60" t="s">
        <v>210</v>
      </c>
      <c r="D38" s="26" t="s">
        <v>2406</v>
      </c>
      <c r="E38" s="166">
        <v>728</v>
      </c>
      <c r="F38" s="168"/>
      <c r="G38" s="136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spans="1:20" ht="19.2" x14ac:dyDescent="0.25">
      <c r="A39" s="1"/>
      <c r="B39" s="129" t="s">
        <v>2407</v>
      </c>
      <c r="C39" s="162"/>
      <c r="D39" s="163"/>
      <c r="E39" s="164"/>
      <c r="F39" s="161"/>
      <c r="G39" s="16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6" x14ac:dyDescent="0.25">
      <c r="A40" s="32"/>
      <c r="B40" s="60" t="s">
        <v>2393</v>
      </c>
      <c r="C40" s="60" t="s">
        <v>318</v>
      </c>
      <c r="D40" s="26" t="s">
        <v>2408</v>
      </c>
      <c r="E40" s="166">
        <v>132.6</v>
      </c>
      <c r="F40" s="168" t="s">
        <v>2409</v>
      </c>
      <c r="G40" s="136">
        <v>105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spans="1:20" ht="15.6" x14ac:dyDescent="0.25">
      <c r="A41" s="32"/>
      <c r="B41" s="60" t="s">
        <v>2395</v>
      </c>
      <c r="C41" s="60" t="s">
        <v>43</v>
      </c>
      <c r="D41" s="26" t="s">
        <v>2410</v>
      </c>
      <c r="E41" s="166">
        <v>139.6</v>
      </c>
      <c r="F41" s="168" t="s">
        <v>2411</v>
      </c>
      <c r="G41" s="136">
        <v>110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spans="1:20" ht="19.2" x14ac:dyDescent="0.25">
      <c r="A42" s="1"/>
      <c r="B42" s="129" t="s">
        <v>7</v>
      </c>
      <c r="C42" s="162"/>
      <c r="D42" s="163"/>
      <c r="E42" s="164"/>
      <c r="F42" s="161"/>
      <c r="G42" s="16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6" x14ac:dyDescent="0.25">
      <c r="A43" s="32"/>
      <c r="B43" s="60" t="s">
        <v>474</v>
      </c>
      <c r="C43" s="60" t="s">
        <v>10</v>
      </c>
      <c r="D43" s="26" t="s">
        <v>2412</v>
      </c>
      <c r="E43" s="165">
        <v>19.8</v>
      </c>
      <c r="F43" s="168" t="s">
        <v>2413</v>
      </c>
      <c r="G43" s="136">
        <v>14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</row>
    <row r="44" spans="1:20" ht="15.6" x14ac:dyDescent="0.25">
      <c r="A44" s="32"/>
      <c r="B44" s="60" t="s">
        <v>478</v>
      </c>
      <c r="C44" s="60" t="s">
        <v>16</v>
      </c>
      <c r="D44" s="26" t="s">
        <v>2414</v>
      </c>
      <c r="E44" s="165">
        <v>26.6</v>
      </c>
      <c r="F44" s="168" t="s">
        <v>2415</v>
      </c>
      <c r="G44" s="136">
        <v>20</v>
      </c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</row>
    <row r="45" spans="1:20" ht="15.6" x14ac:dyDescent="0.25">
      <c r="A45" s="32"/>
      <c r="B45" s="60" t="s">
        <v>483</v>
      </c>
      <c r="C45" s="60" t="s">
        <v>21</v>
      </c>
      <c r="D45" s="26" t="s">
        <v>2416</v>
      </c>
      <c r="E45" s="165">
        <v>48.6</v>
      </c>
      <c r="F45" s="168" t="s">
        <v>2417</v>
      </c>
      <c r="G45" s="136">
        <v>35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</row>
    <row r="46" spans="1:20" ht="15.6" x14ac:dyDescent="0.25">
      <c r="A46" s="32"/>
      <c r="B46" s="60" t="s">
        <v>2345</v>
      </c>
      <c r="C46" s="60" t="s">
        <v>27</v>
      </c>
      <c r="D46" s="26" t="s">
        <v>2418</v>
      </c>
      <c r="E46" s="165">
        <v>76.599999999999994</v>
      </c>
      <c r="F46" s="168" t="s">
        <v>2419</v>
      </c>
      <c r="G46" s="136">
        <v>55</v>
      </c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</row>
    <row r="47" spans="1:20" ht="15.6" x14ac:dyDescent="0.25">
      <c r="A47" s="32"/>
      <c r="B47" s="60" t="s">
        <v>2348</v>
      </c>
      <c r="C47" s="60" t="s">
        <v>33</v>
      </c>
      <c r="D47" s="26" t="s">
        <v>2420</v>
      </c>
      <c r="E47" s="165">
        <v>136.6</v>
      </c>
      <c r="F47" s="168" t="s">
        <v>2421</v>
      </c>
      <c r="G47" s="136">
        <v>99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spans="1:20" ht="15.6" x14ac:dyDescent="0.25">
      <c r="A48" s="32"/>
      <c r="B48" s="60" t="s">
        <v>2351</v>
      </c>
      <c r="C48" s="60" t="s">
        <v>38</v>
      </c>
      <c r="D48" s="26" t="s">
        <v>2422</v>
      </c>
      <c r="E48" s="166">
        <v>308</v>
      </c>
      <c r="F48" s="168"/>
      <c r="G48" s="136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spans="1:20" ht="15.6" x14ac:dyDescent="0.25">
      <c r="A49" s="32"/>
      <c r="B49" s="60" t="s">
        <v>2353</v>
      </c>
      <c r="C49" s="60" t="s">
        <v>54</v>
      </c>
      <c r="D49" s="26" t="s">
        <v>2423</v>
      </c>
      <c r="E49" s="166">
        <v>658</v>
      </c>
      <c r="F49" s="168"/>
      <c r="G49" s="136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</row>
    <row r="50" spans="1:20" ht="15.6" x14ac:dyDescent="0.25">
      <c r="A50" s="32"/>
      <c r="B50" s="60" t="s">
        <v>2355</v>
      </c>
      <c r="C50" s="60" t="s">
        <v>2356</v>
      </c>
      <c r="D50" s="26" t="s">
        <v>2424</v>
      </c>
      <c r="E50" s="166">
        <v>856</v>
      </c>
      <c r="F50" s="168"/>
      <c r="G50" s="136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spans="1:20" ht="15.6" x14ac:dyDescent="0.25">
      <c r="A51" s="32"/>
      <c r="B51" s="60" t="s">
        <v>2358</v>
      </c>
      <c r="C51" s="60" t="s">
        <v>2359</v>
      </c>
      <c r="D51" s="26" t="s">
        <v>2425</v>
      </c>
      <c r="E51" s="166">
        <v>1498</v>
      </c>
      <c r="F51" s="168"/>
      <c r="G51" s="136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</row>
    <row r="52" spans="1:20" ht="15.6" x14ac:dyDescent="0.25">
      <c r="A52" s="32"/>
      <c r="B52" s="60" t="s">
        <v>2361</v>
      </c>
      <c r="C52" s="60" t="s">
        <v>2362</v>
      </c>
      <c r="D52" s="26" t="s">
        <v>2426</v>
      </c>
      <c r="E52" s="165">
        <v>4864</v>
      </c>
      <c r="F52" s="168"/>
      <c r="G52" s="136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</row>
    <row r="53" spans="1:20" ht="19.2" x14ac:dyDescent="0.25">
      <c r="A53" s="1"/>
      <c r="B53" s="129" t="s">
        <v>2427</v>
      </c>
      <c r="C53" s="162"/>
      <c r="D53" s="163"/>
      <c r="E53" s="164"/>
      <c r="F53" s="161"/>
      <c r="G53" s="16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6" x14ac:dyDescent="0.25">
      <c r="A54" s="32"/>
      <c r="B54" s="60" t="s">
        <v>2393</v>
      </c>
      <c r="C54" s="60" t="s">
        <v>318</v>
      </c>
      <c r="D54" s="26" t="s">
        <v>2428</v>
      </c>
      <c r="E54" s="165">
        <v>139.6</v>
      </c>
      <c r="F54" s="168" t="s">
        <v>2429</v>
      </c>
      <c r="G54" s="136">
        <v>110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</row>
    <row r="55" spans="1:20" ht="15.6" x14ac:dyDescent="0.25">
      <c r="A55" s="32"/>
      <c r="B55" s="60" t="s">
        <v>2395</v>
      </c>
      <c r="C55" s="60" t="s">
        <v>43</v>
      </c>
      <c r="D55" s="26" t="s">
        <v>2430</v>
      </c>
      <c r="E55" s="165">
        <v>154.80000000000001</v>
      </c>
      <c r="F55" s="168" t="s">
        <v>2431</v>
      </c>
      <c r="G55" s="136">
        <v>120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spans="1:20" ht="15.6" x14ac:dyDescent="0.25">
      <c r="A56" s="32"/>
      <c r="B56" s="21" t="s">
        <v>2402</v>
      </c>
      <c r="C56" s="60" t="s">
        <v>764</v>
      </c>
      <c r="D56" s="26" t="s">
        <v>2432</v>
      </c>
      <c r="E56" s="165">
        <v>320</v>
      </c>
      <c r="F56" s="168" t="s">
        <v>2433</v>
      </c>
      <c r="G56" s="136">
        <v>250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spans="1:20" ht="15.6" x14ac:dyDescent="0.25">
      <c r="A57" s="32"/>
      <c r="B57" s="21" t="s">
        <v>2405</v>
      </c>
      <c r="C57" s="60" t="s">
        <v>210</v>
      </c>
      <c r="D57" s="26" t="s">
        <v>2434</v>
      </c>
      <c r="E57" s="165">
        <v>380</v>
      </c>
      <c r="F57" s="168"/>
      <c r="G57" s="136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</row>
    <row r="58" spans="1:20" ht="19.2" x14ac:dyDescent="0.25">
      <c r="A58" s="1"/>
      <c r="B58" s="129" t="s">
        <v>2435</v>
      </c>
      <c r="C58" s="162"/>
      <c r="D58" s="163"/>
      <c r="E58" s="164"/>
      <c r="F58" s="161"/>
      <c r="G58" s="16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6" x14ac:dyDescent="0.25">
      <c r="A59" s="32"/>
      <c r="B59" s="60" t="s">
        <v>474</v>
      </c>
      <c r="C59" s="60" t="s">
        <v>10</v>
      </c>
      <c r="D59" s="26" t="s">
        <v>2436</v>
      </c>
      <c r="E59" s="165">
        <v>23.4</v>
      </c>
      <c r="F59" s="168" t="s">
        <v>2437</v>
      </c>
      <c r="G59" s="136">
        <v>17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spans="1:20" ht="15.6" x14ac:dyDescent="0.25">
      <c r="A60" s="32"/>
      <c r="B60" s="60" t="s">
        <v>478</v>
      </c>
      <c r="C60" s="60" t="s">
        <v>16</v>
      </c>
      <c r="D60" s="26" t="s">
        <v>2438</v>
      </c>
      <c r="E60" s="165">
        <v>42.8</v>
      </c>
      <c r="F60" s="168" t="s">
        <v>2439</v>
      </c>
      <c r="G60" s="136">
        <v>31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spans="1:20" ht="15.6" x14ac:dyDescent="0.25">
      <c r="A61" s="32"/>
      <c r="B61" s="60" t="s">
        <v>483</v>
      </c>
      <c r="C61" s="60" t="s">
        <v>21</v>
      </c>
      <c r="D61" s="26" t="s">
        <v>2440</v>
      </c>
      <c r="E61" s="165">
        <v>69.400000000000006</v>
      </c>
      <c r="F61" s="168" t="s">
        <v>2441</v>
      </c>
      <c r="G61" s="136">
        <v>50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spans="1:20" ht="15.6" x14ac:dyDescent="0.25">
      <c r="A62" s="32"/>
      <c r="B62" s="60" t="s">
        <v>2345</v>
      </c>
      <c r="C62" s="60" t="s">
        <v>27</v>
      </c>
      <c r="D62" s="26" t="s">
        <v>2442</v>
      </c>
      <c r="E62" s="165">
        <v>99.8</v>
      </c>
      <c r="F62" s="168" t="s">
        <v>2443</v>
      </c>
      <c r="G62" s="136">
        <v>73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spans="1:20" ht="15.6" x14ac:dyDescent="0.25">
      <c r="A63" s="32"/>
      <c r="B63" s="60" t="s">
        <v>2348</v>
      </c>
      <c r="C63" s="60" t="s">
        <v>33</v>
      </c>
      <c r="D63" s="26" t="s">
        <v>2444</v>
      </c>
      <c r="E63" s="165">
        <v>198.6</v>
      </c>
      <c r="F63" s="168" t="s">
        <v>2445</v>
      </c>
      <c r="G63" s="136">
        <v>146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spans="1:20" ht="15.6" x14ac:dyDescent="0.25">
      <c r="A64" s="32"/>
      <c r="B64" s="60" t="s">
        <v>2351</v>
      </c>
      <c r="C64" s="60" t="s">
        <v>38</v>
      </c>
      <c r="D64" s="26" t="s">
        <v>2446</v>
      </c>
      <c r="E64" s="166">
        <v>444</v>
      </c>
      <c r="F64" s="168"/>
      <c r="G64" s="136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spans="1:20" ht="15.6" x14ac:dyDescent="0.25">
      <c r="A65" s="32"/>
      <c r="B65" s="60" t="s">
        <v>2353</v>
      </c>
      <c r="C65" s="60" t="s">
        <v>54</v>
      </c>
      <c r="D65" s="26" t="s">
        <v>2447</v>
      </c>
      <c r="E65" s="166">
        <v>844</v>
      </c>
      <c r="F65" s="168"/>
      <c r="G65" s="136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spans="1:20" ht="15.6" x14ac:dyDescent="0.25">
      <c r="A66" s="32"/>
      <c r="B66" s="60" t="s">
        <v>2355</v>
      </c>
      <c r="C66" s="60" t="s">
        <v>2356</v>
      </c>
      <c r="D66" s="26" t="s">
        <v>2448</v>
      </c>
      <c r="E66" s="166">
        <v>1132</v>
      </c>
      <c r="F66" s="168"/>
      <c r="G66" s="136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spans="1:20" ht="15.6" x14ac:dyDescent="0.25">
      <c r="A67" s="32"/>
      <c r="B67" s="60" t="s">
        <v>2358</v>
      </c>
      <c r="C67" s="60" t="s">
        <v>2359</v>
      </c>
      <c r="D67" s="26" t="s">
        <v>2449</v>
      </c>
      <c r="E67" s="166">
        <v>1758</v>
      </c>
      <c r="F67" s="168"/>
      <c r="G67" s="136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spans="1:20" ht="15.6" x14ac:dyDescent="0.25">
      <c r="A68" s="32"/>
      <c r="B68" s="60" t="s">
        <v>2361</v>
      </c>
      <c r="C68" s="60" t="s">
        <v>2362</v>
      </c>
      <c r="D68" s="26" t="s">
        <v>2450</v>
      </c>
      <c r="E68" s="165">
        <v>8748</v>
      </c>
      <c r="F68" s="168"/>
      <c r="G68" s="136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spans="1:20" ht="19.2" x14ac:dyDescent="0.25">
      <c r="A69" s="1"/>
      <c r="B69" s="129" t="s">
        <v>256</v>
      </c>
      <c r="C69" s="162"/>
      <c r="D69" s="163"/>
      <c r="E69" s="164"/>
      <c r="F69" s="161"/>
      <c r="G69" s="16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6" x14ac:dyDescent="0.25">
      <c r="A70" s="32"/>
      <c r="B70" s="21" t="s">
        <v>104</v>
      </c>
      <c r="C70" s="60" t="s">
        <v>43</v>
      </c>
      <c r="D70" s="26" t="s">
        <v>2451</v>
      </c>
      <c r="E70" s="165">
        <v>42.2</v>
      </c>
      <c r="F70" s="168"/>
      <c r="G70" s="136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spans="1:20" ht="15.6" x14ac:dyDescent="0.25">
      <c r="A71" s="32"/>
      <c r="B71" s="21" t="s">
        <v>201</v>
      </c>
      <c r="C71" s="60" t="s">
        <v>172</v>
      </c>
      <c r="D71" s="26" t="s">
        <v>2452</v>
      </c>
      <c r="E71" s="165">
        <v>69.8</v>
      </c>
      <c r="F71" s="168"/>
      <c r="G71" s="136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15.6" x14ac:dyDescent="0.25">
      <c r="A72" s="32"/>
      <c r="B72" s="21" t="s">
        <v>211</v>
      </c>
      <c r="C72" s="60" t="s">
        <v>102</v>
      </c>
      <c r="D72" s="26" t="s">
        <v>2453</v>
      </c>
      <c r="E72" s="165">
        <v>70.8</v>
      </c>
      <c r="F72" s="168" t="s">
        <v>2454</v>
      </c>
      <c r="G72" s="136">
        <v>52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spans="1:20" ht="15.6" x14ac:dyDescent="0.25">
      <c r="A73" s="32"/>
      <c r="B73" s="21" t="s">
        <v>227</v>
      </c>
      <c r="C73" s="60" t="s">
        <v>192</v>
      </c>
      <c r="D73" s="26" t="s">
        <v>2455</v>
      </c>
      <c r="E73" s="166">
        <v>94.8</v>
      </c>
      <c r="F73" s="168"/>
      <c r="G73" s="136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spans="1:20" ht="15.6" x14ac:dyDescent="0.25">
      <c r="A74" s="32"/>
      <c r="B74" s="21" t="s">
        <v>234</v>
      </c>
      <c r="C74" s="60" t="s">
        <v>200</v>
      </c>
      <c r="D74" s="26" t="s">
        <v>2456</v>
      </c>
      <c r="E74" s="165">
        <v>98.4</v>
      </c>
      <c r="F74" s="168" t="s">
        <v>2457</v>
      </c>
      <c r="G74" s="136">
        <v>71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spans="1:20" ht="15.6" x14ac:dyDescent="0.25">
      <c r="A75" s="32"/>
      <c r="B75" s="21" t="s">
        <v>241</v>
      </c>
      <c r="C75" s="60" t="s">
        <v>210</v>
      </c>
      <c r="D75" s="26" t="s">
        <v>2458</v>
      </c>
      <c r="E75" s="166">
        <v>99.6</v>
      </c>
      <c r="F75" s="168" t="s">
        <v>2459</v>
      </c>
      <c r="G75" s="136">
        <v>73</v>
      </c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spans="1:20" ht="15.6" x14ac:dyDescent="0.25">
      <c r="A76" s="32"/>
      <c r="B76" s="21" t="s">
        <v>450</v>
      </c>
      <c r="C76" s="60" t="s">
        <v>220</v>
      </c>
      <c r="D76" s="26" t="s">
        <v>2460</v>
      </c>
      <c r="E76" s="166">
        <v>184</v>
      </c>
      <c r="F76" s="168"/>
      <c r="G76" s="136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spans="1:20" ht="15.6" x14ac:dyDescent="0.25">
      <c r="A77" s="32"/>
      <c r="B77" s="21" t="s">
        <v>454</v>
      </c>
      <c r="C77" s="60" t="s">
        <v>226</v>
      </c>
      <c r="D77" s="26" t="s">
        <v>2461</v>
      </c>
      <c r="E77" s="166">
        <v>189</v>
      </c>
      <c r="F77" s="168" t="s">
        <v>2462</v>
      </c>
      <c r="G77" s="136">
        <v>138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spans="1:20" ht="15.6" x14ac:dyDescent="0.25">
      <c r="A78" s="32"/>
      <c r="B78" s="21" t="s">
        <v>459</v>
      </c>
      <c r="C78" s="60" t="s">
        <v>233</v>
      </c>
      <c r="D78" s="26" t="s">
        <v>2463</v>
      </c>
      <c r="E78" s="165">
        <v>189</v>
      </c>
      <c r="F78" s="168" t="s">
        <v>2464</v>
      </c>
      <c r="G78" s="136">
        <v>138.5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spans="1:20" ht="15.6" x14ac:dyDescent="0.25">
      <c r="A79" s="32"/>
      <c r="B79" s="21" t="s">
        <v>464</v>
      </c>
      <c r="C79" s="60" t="s">
        <v>240</v>
      </c>
      <c r="D79" s="26" t="s">
        <v>2465</v>
      </c>
      <c r="E79" s="166">
        <v>192</v>
      </c>
      <c r="F79" s="168" t="s">
        <v>2466</v>
      </c>
      <c r="G79" s="136">
        <v>139</v>
      </c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spans="1:20" ht="15.6" x14ac:dyDescent="0.25">
      <c r="A80" s="32"/>
      <c r="B80" s="21" t="s">
        <v>2382</v>
      </c>
      <c r="C80" s="60" t="s">
        <v>449</v>
      </c>
      <c r="D80" s="26" t="s">
        <v>2467</v>
      </c>
      <c r="E80" s="166">
        <v>378</v>
      </c>
      <c r="F80" s="168"/>
      <c r="G80" s="136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spans="1:20" ht="15.6" x14ac:dyDescent="0.25">
      <c r="A81" s="32"/>
      <c r="B81" s="21" t="s">
        <v>2384</v>
      </c>
      <c r="C81" s="60" t="s">
        <v>453</v>
      </c>
      <c r="D81" s="26" t="s">
        <v>2468</v>
      </c>
      <c r="E81" s="166">
        <v>384</v>
      </c>
      <c r="F81" s="168"/>
      <c r="G81" s="136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spans="1:20" ht="15.6" x14ac:dyDescent="0.25">
      <c r="A82" s="32"/>
      <c r="B82" s="21" t="s">
        <v>2386</v>
      </c>
      <c r="C82" s="60" t="s">
        <v>458</v>
      </c>
      <c r="D82" s="26" t="s">
        <v>2469</v>
      </c>
      <c r="E82" s="166">
        <v>388</v>
      </c>
      <c r="F82" s="168"/>
      <c r="G82" s="136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spans="1:20" ht="15.6" x14ac:dyDescent="0.25">
      <c r="A83" s="32"/>
      <c r="B83" s="21" t="s">
        <v>2388</v>
      </c>
      <c r="C83" s="60" t="s">
        <v>463</v>
      </c>
      <c r="D83" s="26" t="s">
        <v>2470</v>
      </c>
      <c r="E83" s="166">
        <v>396</v>
      </c>
      <c r="F83" s="168"/>
      <c r="G83" s="136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spans="1:20" ht="19.2" x14ac:dyDescent="0.25">
      <c r="A84" s="1"/>
      <c r="B84" s="129" t="s">
        <v>2471</v>
      </c>
      <c r="C84" s="162"/>
      <c r="D84" s="163"/>
      <c r="E84" s="164"/>
      <c r="F84" s="161"/>
      <c r="G84" s="16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6" x14ac:dyDescent="0.25">
      <c r="A85" s="32"/>
      <c r="B85" s="21" t="s">
        <v>2393</v>
      </c>
      <c r="C85" s="60" t="s">
        <v>318</v>
      </c>
      <c r="D85" s="26" t="s">
        <v>2472</v>
      </c>
      <c r="E85" s="165">
        <v>139.80000000000001</v>
      </c>
      <c r="F85" s="168"/>
      <c r="G85" s="136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spans="1:20" ht="15.6" x14ac:dyDescent="0.25">
      <c r="A86" s="32"/>
      <c r="B86" s="21" t="s">
        <v>2395</v>
      </c>
      <c r="C86" s="60" t="s">
        <v>43</v>
      </c>
      <c r="D86" s="26" t="s">
        <v>2473</v>
      </c>
      <c r="E86" s="165">
        <v>154.6</v>
      </c>
      <c r="F86" s="168" t="s">
        <v>2474</v>
      </c>
      <c r="G86" s="136">
        <v>120</v>
      </c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spans="1:20" ht="15.6" x14ac:dyDescent="0.25">
      <c r="A87" s="32"/>
      <c r="B87" s="21" t="s">
        <v>2402</v>
      </c>
      <c r="C87" s="60" t="s">
        <v>764</v>
      </c>
      <c r="D87" s="26" t="s">
        <v>2475</v>
      </c>
      <c r="E87" s="165">
        <v>378</v>
      </c>
      <c r="F87" s="168" t="s">
        <v>2476</v>
      </c>
      <c r="G87" s="136">
        <v>273</v>
      </c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spans="1:20" ht="15.6" x14ac:dyDescent="0.25">
      <c r="A88" s="32"/>
      <c r="B88" s="21" t="s">
        <v>2477</v>
      </c>
      <c r="C88" s="60" t="s">
        <v>172</v>
      </c>
      <c r="D88" s="26" t="s">
        <v>2478</v>
      </c>
      <c r="E88" s="166">
        <v>248</v>
      </c>
      <c r="F88" s="168" t="s">
        <v>2479</v>
      </c>
      <c r="G88" s="136">
        <v>179</v>
      </c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spans="1:20" ht="15.6" x14ac:dyDescent="0.25">
      <c r="A89" s="32"/>
      <c r="B89" s="21" t="s">
        <v>2405</v>
      </c>
      <c r="C89" s="60" t="s">
        <v>210</v>
      </c>
      <c r="D89" s="26" t="s">
        <v>2480</v>
      </c>
      <c r="E89" s="165">
        <v>448</v>
      </c>
      <c r="F89" s="168"/>
      <c r="G89" s="136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spans="1:20" ht="19.2" x14ac:dyDescent="0.25">
      <c r="A90" s="1"/>
      <c r="B90" s="129" t="s">
        <v>2481</v>
      </c>
      <c r="C90" s="162"/>
      <c r="D90" s="163"/>
      <c r="E90" s="164"/>
      <c r="F90" s="161"/>
      <c r="G90" s="16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6" x14ac:dyDescent="0.25">
      <c r="A91" s="32"/>
      <c r="B91" s="21" t="s">
        <v>2393</v>
      </c>
      <c r="C91" s="60" t="s">
        <v>318</v>
      </c>
      <c r="D91" s="26" t="s">
        <v>2482</v>
      </c>
      <c r="E91" s="166">
        <v>176</v>
      </c>
      <c r="F91" s="168"/>
      <c r="G91" s="136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spans="1:20" ht="15.6" x14ac:dyDescent="0.25">
      <c r="A92" s="32"/>
      <c r="B92" s="21" t="s">
        <v>2395</v>
      </c>
      <c r="C92" s="60" t="s">
        <v>43</v>
      </c>
      <c r="D92" s="26" t="s">
        <v>2483</v>
      </c>
      <c r="E92" s="166">
        <v>194</v>
      </c>
      <c r="F92" s="168" t="s">
        <v>2484</v>
      </c>
      <c r="G92" s="136">
        <v>155</v>
      </c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spans="1:20" ht="15.6" x14ac:dyDescent="0.25">
      <c r="A93" s="32"/>
      <c r="B93" s="21" t="s">
        <v>2402</v>
      </c>
      <c r="C93" s="60" t="s">
        <v>764</v>
      </c>
      <c r="D93" s="26" t="s">
        <v>2485</v>
      </c>
      <c r="E93" s="166">
        <v>364</v>
      </c>
      <c r="F93" s="168" t="s">
        <v>2486</v>
      </c>
      <c r="G93" s="136">
        <v>336</v>
      </c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spans="1:20" ht="15.6" x14ac:dyDescent="0.25">
      <c r="A94" s="32"/>
      <c r="B94" s="21" t="s">
        <v>2477</v>
      </c>
      <c r="C94" s="60" t="s">
        <v>172</v>
      </c>
      <c r="D94" s="26" t="s">
        <v>2487</v>
      </c>
      <c r="E94" s="166">
        <v>218</v>
      </c>
      <c r="F94" s="168" t="s">
        <v>2488</v>
      </c>
      <c r="G94" s="136">
        <v>170</v>
      </c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spans="1:20" ht="15.6" x14ac:dyDescent="0.25">
      <c r="A95" s="32"/>
      <c r="B95" s="21" t="s">
        <v>2405</v>
      </c>
      <c r="C95" s="60" t="s">
        <v>210</v>
      </c>
      <c r="D95" s="26" t="s">
        <v>2489</v>
      </c>
      <c r="E95" s="165">
        <v>398</v>
      </c>
      <c r="F95" s="168"/>
      <c r="G95" s="136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spans="1:20" ht="19.2" x14ac:dyDescent="0.25">
      <c r="A96" s="1"/>
      <c r="B96" s="129" t="s">
        <v>352</v>
      </c>
      <c r="C96" s="162"/>
      <c r="D96" s="163"/>
      <c r="E96" s="164"/>
      <c r="F96" s="161"/>
      <c r="G96" s="16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6" x14ac:dyDescent="0.25">
      <c r="A97" s="32"/>
      <c r="B97" s="60" t="s">
        <v>474</v>
      </c>
      <c r="C97" s="60" t="s">
        <v>10</v>
      </c>
      <c r="D97" s="26" t="s">
        <v>2490</v>
      </c>
      <c r="E97" s="165">
        <v>109.6</v>
      </c>
      <c r="F97" s="168"/>
      <c r="G97" s="136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0" ht="15.6" x14ac:dyDescent="0.25">
      <c r="A98" s="32"/>
      <c r="B98" s="60" t="s">
        <v>478</v>
      </c>
      <c r="C98" s="60" t="s">
        <v>16</v>
      </c>
      <c r="D98" s="26" t="s">
        <v>2491</v>
      </c>
      <c r="E98" s="165">
        <v>149.4</v>
      </c>
      <c r="F98" s="168" t="s">
        <v>2492</v>
      </c>
      <c r="G98" s="136">
        <v>107</v>
      </c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0" ht="15.6" x14ac:dyDescent="0.25">
      <c r="A99" s="32"/>
      <c r="B99" s="60" t="s">
        <v>483</v>
      </c>
      <c r="C99" s="60" t="s">
        <v>21</v>
      </c>
      <c r="D99" s="26" t="s">
        <v>2493</v>
      </c>
      <c r="E99" s="165">
        <v>289.39999999999998</v>
      </c>
      <c r="F99" s="168" t="s">
        <v>2494</v>
      </c>
      <c r="G99" s="136">
        <v>210</v>
      </c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spans="1:20" ht="15.6" x14ac:dyDescent="0.25">
      <c r="A100" s="32"/>
      <c r="B100" s="60" t="s">
        <v>2345</v>
      </c>
      <c r="C100" s="60" t="s">
        <v>27</v>
      </c>
      <c r="D100" s="26" t="s">
        <v>2495</v>
      </c>
      <c r="E100" s="165">
        <v>748.4</v>
      </c>
      <c r="F100" s="168" t="s">
        <v>2496</v>
      </c>
      <c r="G100" s="136">
        <v>541</v>
      </c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  <row r="101" spans="1:20" ht="15.6" x14ac:dyDescent="0.25">
      <c r="A101" s="32"/>
      <c r="B101" s="60" t="s">
        <v>2348</v>
      </c>
      <c r="C101" s="60" t="s">
        <v>33</v>
      </c>
      <c r="D101" s="26" t="s">
        <v>2497</v>
      </c>
      <c r="E101" s="165">
        <v>1058</v>
      </c>
      <c r="F101" s="168" t="s">
        <v>2498</v>
      </c>
      <c r="G101" s="136">
        <v>763</v>
      </c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</row>
    <row r="102" spans="1:20" ht="15.6" x14ac:dyDescent="0.25">
      <c r="A102" s="32"/>
      <c r="B102" s="60" t="s">
        <v>2351</v>
      </c>
      <c r="C102" s="60" t="s">
        <v>38</v>
      </c>
      <c r="D102" s="26" t="s">
        <v>2499</v>
      </c>
      <c r="E102" s="166">
        <v>1326</v>
      </c>
      <c r="F102" s="168"/>
      <c r="G102" s="136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0" ht="19.2" x14ac:dyDescent="0.25">
      <c r="A103" s="1"/>
      <c r="B103" s="129" t="s">
        <v>726</v>
      </c>
      <c r="C103" s="162"/>
      <c r="D103" s="163"/>
      <c r="E103" s="164"/>
      <c r="F103" s="161"/>
      <c r="G103" s="16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6" x14ac:dyDescent="0.25">
      <c r="A104" s="32"/>
      <c r="B104" s="60" t="s">
        <v>474</v>
      </c>
      <c r="C104" s="60" t="s">
        <v>10</v>
      </c>
      <c r="D104" s="26" t="s">
        <v>2500</v>
      </c>
      <c r="E104" s="165">
        <v>114</v>
      </c>
      <c r="F104" s="168"/>
      <c r="G104" s="136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</row>
    <row r="105" spans="1:20" ht="15.6" x14ac:dyDescent="0.25">
      <c r="A105" s="32"/>
      <c r="B105" s="60" t="s">
        <v>478</v>
      </c>
      <c r="C105" s="60" t="s">
        <v>16</v>
      </c>
      <c r="D105" s="26" t="s">
        <v>2501</v>
      </c>
      <c r="E105" s="165">
        <v>122</v>
      </c>
      <c r="F105" s="168" t="s">
        <v>2502</v>
      </c>
      <c r="G105" s="136">
        <v>77</v>
      </c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</row>
    <row r="106" spans="1:20" ht="15.6" x14ac:dyDescent="0.25">
      <c r="A106" s="32"/>
      <c r="B106" s="60" t="s">
        <v>483</v>
      </c>
      <c r="C106" s="60" t="s">
        <v>21</v>
      </c>
      <c r="D106" s="26" t="s">
        <v>2503</v>
      </c>
      <c r="E106" s="165">
        <v>156</v>
      </c>
      <c r="F106" s="168" t="s">
        <v>2504</v>
      </c>
      <c r="G106" s="136">
        <v>100</v>
      </c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spans="1:20" ht="15.6" x14ac:dyDescent="0.25">
      <c r="A107" s="32"/>
      <c r="B107" s="60" t="s">
        <v>2345</v>
      </c>
      <c r="C107" s="60" t="s">
        <v>27</v>
      </c>
      <c r="D107" s="26" t="s">
        <v>2505</v>
      </c>
      <c r="E107" s="165">
        <v>258.39999999999998</v>
      </c>
      <c r="F107" s="168" t="s">
        <v>2506</v>
      </c>
      <c r="G107" s="136">
        <v>149</v>
      </c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</row>
    <row r="108" spans="1:20" ht="15.6" x14ac:dyDescent="0.25">
      <c r="A108" s="32"/>
      <c r="B108" s="60" t="s">
        <v>2348</v>
      </c>
      <c r="C108" s="60" t="s">
        <v>33</v>
      </c>
      <c r="D108" s="26" t="s">
        <v>2507</v>
      </c>
      <c r="E108" s="165">
        <v>346.6</v>
      </c>
      <c r="F108" s="168" t="s">
        <v>2508</v>
      </c>
      <c r="G108" s="136">
        <v>162</v>
      </c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</row>
    <row r="109" spans="1:20" ht="15.6" x14ac:dyDescent="0.25">
      <c r="A109" s="32"/>
      <c r="B109" s="60" t="s">
        <v>2351</v>
      </c>
      <c r="C109" s="60" t="s">
        <v>38</v>
      </c>
      <c r="D109" s="26" t="s">
        <v>2509</v>
      </c>
      <c r="E109" s="166">
        <v>588.79999999999995</v>
      </c>
      <c r="F109" s="168"/>
      <c r="G109" s="136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</row>
    <row r="110" spans="1:20" ht="19.2" x14ac:dyDescent="0.25">
      <c r="A110" s="1"/>
      <c r="B110" s="129" t="s">
        <v>488</v>
      </c>
      <c r="C110" s="162"/>
      <c r="D110" s="163"/>
      <c r="E110" s="164"/>
      <c r="F110" s="161"/>
      <c r="G110" s="1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6" x14ac:dyDescent="0.25">
      <c r="A111" s="32"/>
      <c r="B111" s="60">
        <v>20</v>
      </c>
      <c r="C111" s="60" t="s">
        <v>10</v>
      </c>
      <c r="D111" s="29" t="s">
        <v>2510</v>
      </c>
      <c r="E111" s="165">
        <v>14.9</v>
      </c>
      <c r="F111" s="168" t="s">
        <v>2365</v>
      </c>
      <c r="G111" s="136">
        <v>12</v>
      </c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</row>
    <row r="112" spans="1:20" ht="15.6" x14ac:dyDescent="0.25">
      <c r="A112" s="32"/>
      <c r="B112" s="60">
        <v>25</v>
      </c>
      <c r="C112" s="60" t="s">
        <v>16</v>
      </c>
      <c r="D112" s="29" t="s">
        <v>2511</v>
      </c>
      <c r="E112" s="165">
        <v>21.8</v>
      </c>
      <c r="F112" s="168" t="s">
        <v>2512</v>
      </c>
      <c r="G112" s="136">
        <v>16</v>
      </c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</row>
    <row r="113" spans="1:20" ht="15.6" x14ac:dyDescent="0.25">
      <c r="A113" s="32"/>
      <c r="B113" s="60" t="s">
        <v>483</v>
      </c>
      <c r="C113" s="60" t="s">
        <v>21</v>
      </c>
      <c r="D113" s="29" t="s">
        <v>2513</v>
      </c>
      <c r="E113" s="165">
        <v>26.6</v>
      </c>
      <c r="F113" s="168" t="s">
        <v>2514</v>
      </c>
      <c r="G113" s="136">
        <v>20</v>
      </c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</row>
    <row r="114" spans="1:20" ht="15.6" x14ac:dyDescent="0.25">
      <c r="A114" s="32"/>
      <c r="B114" s="60" t="s">
        <v>2345</v>
      </c>
      <c r="C114" s="60" t="s">
        <v>27</v>
      </c>
      <c r="D114" s="29" t="s">
        <v>2515</v>
      </c>
      <c r="E114" s="165">
        <v>36.9</v>
      </c>
      <c r="F114" s="168" t="s">
        <v>2516</v>
      </c>
      <c r="G114" s="136">
        <v>27</v>
      </c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</row>
    <row r="115" spans="1:20" ht="15.6" x14ac:dyDescent="0.25">
      <c r="A115" s="32"/>
      <c r="B115" s="60" t="s">
        <v>2348</v>
      </c>
      <c r="C115" s="60" t="s">
        <v>33</v>
      </c>
      <c r="D115" s="29" t="s">
        <v>2517</v>
      </c>
      <c r="E115" s="165">
        <v>69.8</v>
      </c>
      <c r="F115" s="168" t="s">
        <v>2518</v>
      </c>
      <c r="G115" s="136">
        <v>51</v>
      </c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</row>
    <row r="116" spans="1:20" ht="15.6" x14ac:dyDescent="0.25">
      <c r="A116" s="32"/>
      <c r="B116" s="60" t="s">
        <v>2351</v>
      </c>
      <c r="C116" s="60" t="s">
        <v>38</v>
      </c>
      <c r="D116" s="29" t="s">
        <v>2519</v>
      </c>
      <c r="E116" s="166">
        <v>126</v>
      </c>
      <c r="F116" s="168"/>
      <c r="G116" s="136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</row>
    <row r="117" spans="1:20" ht="15.6" x14ac:dyDescent="0.25">
      <c r="A117" s="32"/>
      <c r="B117" s="60" t="s">
        <v>2353</v>
      </c>
      <c r="C117" s="60" t="s">
        <v>54</v>
      </c>
      <c r="D117" s="29" t="s">
        <v>2520</v>
      </c>
      <c r="E117" s="165">
        <v>444</v>
      </c>
      <c r="F117" s="168"/>
      <c r="G117" s="136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</row>
    <row r="118" spans="1:20" ht="15.6" x14ac:dyDescent="0.25">
      <c r="A118" s="32"/>
      <c r="B118" s="60" t="s">
        <v>2355</v>
      </c>
      <c r="C118" s="60" t="s">
        <v>2356</v>
      </c>
      <c r="D118" s="29" t="s">
        <v>2521</v>
      </c>
      <c r="E118" s="165">
        <v>688</v>
      </c>
      <c r="F118" s="168"/>
      <c r="G118" s="136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</row>
    <row r="119" spans="1:20" ht="15.6" x14ac:dyDescent="0.25">
      <c r="A119" s="32"/>
      <c r="B119" s="60" t="s">
        <v>2358</v>
      </c>
      <c r="C119" s="60" t="s">
        <v>2359</v>
      </c>
      <c r="D119" s="29" t="s">
        <v>2522</v>
      </c>
      <c r="E119" s="165">
        <v>1496</v>
      </c>
      <c r="F119" s="168"/>
      <c r="G119" s="136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</row>
    <row r="120" spans="1:20" ht="15.6" x14ac:dyDescent="0.25">
      <c r="A120" s="32"/>
      <c r="B120" s="60" t="s">
        <v>2361</v>
      </c>
      <c r="C120" s="60" t="s">
        <v>2362</v>
      </c>
      <c r="D120" s="29" t="s">
        <v>2523</v>
      </c>
      <c r="E120" s="165">
        <v>2488</v>
      </c>
      <c r="F120" s="168"/>
      <c r="G120" s="136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</row>
    <row r="121" spans="1:20" ht="19.2" x14ac:dyDescent="0.25">
      <c r="A121" s="1"/>
      <c r="B121" s="129" t="s">
        <v>810</v>
      </c>
      <c r="C121" s="162"/>
      <c r="D121" s="163"/>
      <c r="E121" s="164"/>
      <c r="F121" s="161"/>
      <c r="G121" s="1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6" x14ac:dyDescent="0.25">
      <c r="A122" s="32"/>
      <c r="B122" s="60">
        <v>15</v>
      </c>
      <c r="C122" s="60" t="s">
        <v>10</v>
      </c>
      <c r="D122" s="29" t="s">
        <v>2524</v>
      </c>
      <c r="E122" s="165">
        <v>8.1999999999999993</v>
      </c>
      <c r="F122" s="168"/>
      <c r="G122" s="136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spans="1:20" ht="15.6" x14ac:dyDescent="0.25">
      <c r="A123" s="32"/>
      <c r="B123" s="21">
        <v>20</v>
      </c>
      <c r="C123" s="60" t="s">
        <v>16</v>
      </c>
      <c r="D123" s="29" t="s">
        <v>2525</v>
      </c>
      <c r="E123" s="165">
        <v>9.8000000000000007</v>
      </c>
      <c r="F123" s="168" t="s">
        <v>2526</v>
      </c>
      <c r="G123" s="136">
        <v>12</v>
      </c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</row>
    <row r="124" spans="1:20" ht="19.2" x14ac:dyDescent="0.25">
      <c r="A124" s="1"/>
      <c r="B124" s="129" t="s">
        <v>2527</v>
      </c>
      <c r="C124" s="162"/>
      <c r="D124" s="163"/>
      <c r="E124" s="164"/>
      <c r="F124" s="161"/>
      <c r="G124" s="1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6" x14ac:dyDescent="0.25">
      <c r="A125" s="32"/>
      <c r="B125" s="21">
        <v>25</v>
      </c>
      <c r="C125" s="60" t="s">
        <v>16</v>
      </c>
      <c r="D125" s="29" t="s">
        <v>2528</v>
      </c>
      <c r="E125" s="165">
        <v>236</v>
      </c>
      <c r="F125" s="168"/>
      <c r="G125" s="136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</row>
    <row r="126" spans="1:20" ht="15.6" x14ac:dyDescent="0.25">
      <c r="A126" s="32"/>
      <c r="B126" s="21">
        <v>32</v>
      </c>
      <c r="C126" s="60" t="s">
        <v>21</v>
      </c>
      <c r="D126" s="29" t="s">
        <v>2529</v>
      </c>
      <c r="E126" s="165">
        <v>368.4</v>
      </c>
      <c r="F126" s="168"/>
      <c r="G126" s="136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spans="1:20" ht="15.6" x14ac:dyDescent="0.25">
      <c r="A127" s="32"/>
      <c r="B127" s="21">
        <v>40</v>
      </c>
      <c r="C127" s="60" t="s">
        <v>27</v>
      </c>
      <c r="D127" s="29" t="s">
        <v>2530</v>
      </c>
      <c r="E127" s="165">
        <v>482</v>
      </c>
      <c r="F127" s="168"/>
      <c r="G127" s="136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</row>
    <row r="128" spans="1:20" ht="15.6" x14ac:dyDescent="0.25">
      <c r="A128" s="32"/>
      <c r="B128" s="21">
        <v>50</v>
      </c>
      <c r="C128" s="60" t="s">
        <v>33</v>
      </c>
      <c r="D128" s="29" t="s">
        <v>2531</v>
      </c>
      <c r="E128" s="165">
        <v>728</v>
      </c>
      <c r="F128" s="168"/>
      <c r="G128" s="136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spans="1:20" ht="19.2" x14ac:dyDescent="0.25">
      <c r="A129" s="1"/>
      <c r="B129" s="129" t="s">
        <v>2532</v>
      </c>
      <c r="C129" s="162"/>
      <c r="D129" s="163"/>
      <c r="E129" s="164"/>
      <c r="F129" s="161"/>
      <c r="G129" s="1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6" x14ac:dyDescent="0.25">
      <c r="A130" s="32"/>
      <c r="B130" s="21">
        <v>32</v>
      </c>
      <c r="C130" s="60" t="s">
        <v>21</v>
      </c>
      <c r="D130" s="29" t="s">
        <v>2533</v>
      </c>
      <c r="E130" s="165">
        <v>1596</v>
      </c>
      <c r="F130" s="168"/>
      <c r="G130" s="136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</row>
    <row r="131" spans="1:20" ht="15.6" x14ac:dyDescent="0.25">
      <c r="A131" s="32"/>
      <c r="B131" s="21">
        <v>40</v>
      </c>
      <c r="C131" s="60" t="s">
        <v>27</v>
      </c>
      <c r="D131" s="29" t="s">
        <v>2534</v>
      </c>
      <c r="E131" s="165">
        <v>2694</v>
      </c>
      <c r="F131" s="168"/>
      <c r="G131" s="136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</row>
    <row r="132" spans="1:20" ht="15.6" x14ac:dyDescent="0.25">
      <c r="A132" s="32"/>
      <c r="B132" s="21">
        <v>50</v>
      </c>
      <c r="C132" s="60" t="s">
        <v>33</v>
      </c>
      <c r="D132" s="29" t="s">
        <v>2535</v>
      </c>
      <c r="E132" s="166">
        <v>3884</v>
      </c>
      <c r="F132" s="168"/>
      <c r="G132" s="136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</row>
    <row r="133" spans="1:20" ht="13.2" x14ac:dyDescent="0.25">
      <c r="A133" s="1"/>
      <c r="B133" s="1"/>
      <c r="C133" s="1"/>
      <c r="D133" s="1"/>
      <c r="E133" s="16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2" x14ac:dyDescent="0.25">
      <c r="A134" s="1"/>
      <c r="B134" s="1"/>
      <c r="C134" s="1"/>
      <c r="D134" s="1"/>
      <c r="E134" s="16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2" x14ac:dyDescent="0.25">
      <c r="A135" s="1"/>
      <c r="B135" s="1"/>
      <c r="C135" s="1"/>
      <c r="D135" s="1"/>
      <c r="E135" s="16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2" x14ac:dyDescent="0.25">
      <c r="A136" s="1"/>
      <c r="B136" s="1"/>
      <c r="C136" s="1"/>
      <c r="D136" s="1"/>
      <c r="E136" s="16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2" x14ac:dyDescent="0.25">
      <c r="A137" s="1"/>
      <c r="B137" s="1"/>
      <c r="C137" s="1"/>
      <c r="D137" s="1"/>
      <c r="E137" s="16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2" x14ac:dyDescent="0.25">
      <c r="A138" s="1"/>
      <c r="B138" s="1"/>
      <c r="C138" s="1"/>
      <c r="D138" s="1"/>
      <c r="E138" s="16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3.2" x14ac:dyDescent="0.25">
      <c r="A139" s="1"/>
      <c r="B139" s="1"/>
      <c r="C139" s="1"/>
      <c r="D139" s="1"/>
      <c r="E139" s="16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2" x14ac:dyDescent="0.25">
      <c r="A140" s="1"/>
      <c r="B140" s="1"/>
      <c r="C140" s="1"/>
      <c r="D140" s="1"/>
      <c r="E140" s="16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2" x14ac:dyDescent="0.25">
      <c r="A141" s="1"/>
      <c r="B141" s="1"/>
      <c r="C141" s="1"/>
      <c r="D141" s="1"/>
      <c r="E141" s="16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2" x14ac:dyDescent="0.25">
      <c r="A142" s="1"/>
      <c r="B142" s="1"/>
      <c r="C142" s="1"/>
      <c r="D142" s="1"/>
      <c r="E142" s="16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2" x14ac:dyDescent="0.25">
      <c r="A143" s="1"/>
      <c r="B143" s="1"/>
      <c r="C143" s="1"/>
      <c r="D143" s="1"/>
      <c r="E143" s="16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2" x14ac:dyDescent="0.25">
      <c r="A144" s="1"/>
      <c r="B144" s="1"/>
      <c r="C144" s="1"/>
      <c r="D144" s="1"/>
      <c r="E144" s="16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3.2" x14ac:dyDescent="0.25">
      <c r="A145" s="1"/>
      <c r="B145" s="1"/>
      <c r="C145" s="1"/>
      <c r="D145" s="1"/>
      <c r="E145" s="16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3.2" x14ac:dyDescent="0.25">
      <c r="A146" s="1"/>
      <c r="B146" s="1"/>
      <c r="C146" s="1"/>
      <c r="D146" s="1"/>
      <c r="E146" s="16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3.2" x14ac:dyDescent="0.25">
      <c r="A147" s="1"/>
      <c r="B147" s="1"/>
      <c r="C147" s="1"/>
      <c r="D147" s="1"/>
      <c r="E147" s="16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3.2" x14ac:dyDescent="0.25">
      <c r="A148" s="1"/>
      <c r="B148" s="1"/>
      <c r="C148" s="1"/>
      <c r="D148" s="1"/>
      <c r="E148" s="16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3.2" x14ac:dyDescent="0.25">
      <c r="A149" s="1"/>
      <c r="B149" s="1"/>
      <c r="C149" s="1"/>
      <c r="D149" s="1"/>
      <c r="E149" s="16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2" x14ac:dyDescent="0.25">
      <c r="A150" s="1"/>
      <c r="B150" s="1"/>
      <c r="C150" s="1"/>
      <c r="D150" s="1"/>
      <c r="E150" s="16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3.2" x14ac:dyDescent="0.25">
      <c r="A151" s="1"/>
      <c r="B151" s="1"/>
      <c r="C151" s="1"/>
      <c r="D151" s="1"/>
      <c r="E151" s="16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3.2" x14ac:dyDescent="0.25">
      <c r="A152" s="1"/>
      <c r="B152" s="1"/>
      <c r="C152" s="1"/>
      <c r="D152" s="1"/>
      <c r="E152" s="16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3.2" x14ac:dyDescent="0.25">
      <c r="A153" s="1"/>
      <c r="B153" s="1"/>
      <c r="C153" s="1"/>
      <c r="D153" s="1"/>
      <c r="E153" s="16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3.2" x14ac:dyDescent="0.25">
      <c r="A154" s="1"/>
      <c r="B154" s="1"/>
      <c r="C154" s="1"/>
      <c r="D154" s="1"/>
      <c r="E154" s="16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3.2" x14ac:dyDescent="0.25">
      <c r="A155" s="1"/>
      <c r="B155" s="1"/>
      <c r="C155" s="1"/>
      <c r="D155" s="1"/>
      <c r="E155" s="16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2" x14ac:dyDescent="0.25">
      <c r="A156" s="1"/>
      <c r="B156" s="1"/>
      <c r="C156" s="1"/>
      <c r="D156" s="1"/>
      <c r="E156" s="16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3.2" x14ac:dyDescent="0.25">
      <c r="A157" s="1"/>
      <c r="B157" s="1"/>
      <c r="C157" s="1"/>
      <c r="D157" s="1"/>
      <c r="E157" s="16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3.2" x14ac:dyDescent="0.25">
      <c r="A158" s="1"/>
      <c r="B158" s="1"/>
      <c r="C158" s="1"/>
      <c r="D158" s="1"/>
      <c r="E158" s="16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2" x14ac:dyDescent="0.25">
      <c r="A159" s="1"/>
      <c r="B159" s="1"/>
      <c r="C159" s="1"/>
      <c r="D159" s="1"/>
      <c r="E159" s="16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3.2" x14ac:dyDescent="0.25">
      <c r="A160" s="1"/>
      <c r="B160" s="1"/>
      <c r="C160" s="1"/>
      <c r="D160" s="1"/>
      <c r="E160" s="16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3.2" x14ac:dyDescent="0.25">
      <c r="A161" s="1"/>
      <c r="B161" s="1"/>
      <c r="C161" s="1"/>
      <c r="D161" s="1"/>
      <c r="E161" s="16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2" x14ac:dyDescent="0.25">
      <c r="A162" s="1"/>
      <c r="B162" s="1"/>
      <c r="C162" s="1"/>
      <c r="D162" s="1"/>
      <c r="E162" s="16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3.2" x14ac:dyDescent="0.25">
      <c r="A163" s="1"/>
      <c r="B163" s="1"/>
      <c r="C163" s="1"/>
      <c r="D163" s="1"/>
      <c r="E163" s="16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3.2" x14ac:dyDescent="0.25">
      <c r="A164" s="1"/>
      <c r="B164" s="1"/>
      <c r="C164" s="1"/>
      <c r="D164" s="1"/>
      <c r="E164" s="16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2" x14ac:dyDescent="0.25">
      <c r="A165" s="1"/>
      <c r="B165" s="1"/>
      <c r="C165" s="1"/>
      <c r="D165" s="1"/>
      <c r="E165" s="16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3.2" x14ac:dyDescent="0.25">
      <c r="A166" s="1"/>
      <c r="B166" s="1"/>
      <c r="C166" s="1"/>
      <c r="D166" s="1"/>
      <c r="E166" s="16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3.2" x14ac:dyDescent="0.25">
      <c r="A167" s="1"/>
      <c r="B167" s="1"/>
      <c r="C167" s="1"/>
      <c r="D167" s="1"/>
      <c r="E167" s="16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3.2" x14ac:dyDescent="0.25">
      <c r="A168" s="1"/>
      <c r="B168" s="1"/>
      <c r="C168" s="1"/>
      <c r="D168" s="1"/>
      <c r="E168" s="16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3.2" x14ac:dyDescent="0.25">
      <c r="A169" s="1"/>
      <c r="B169" s="1"/>
      <c r="C169" s="1"/>
      <c r="D169" s="1"/>
      <c r="E169" s="16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3.2" x14ac:dyDescent="0.25">
      <c r="A170" s="1"/>
      <c r="B170" s="1"/>
      <c r="C170" s="1"/>
      <c r="D170" s="1"/>
      <c r="E170" s="16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2" x14ac:dyDescent="0.25">
      <c r="A171" s="1"/>
      <c r="B171" s="1"/>
      <c r="C171" s="1"/>
      <c r="D171" s="1"/>
      <c r="E171" s="16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3.2" x14ac:dyDescent="0.25">
      <c r="A172" s="1"/>
      <c r="B172" s="1"/>
      <c r="C172" s="1"/>
      <c r="D172" s="1"/>
      <c r="E172" s="16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3.2" x14ac:dyDescent="0.25">
      <c r="A173" s="1"/>
      <c r="B173" s="1"/>
      <c r="C173" s="1"/>
      <c r="D173" s="1"/>
      <c r="E173" s="16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3.2" x14ac:dyDescent="0.25">
      <c r="A174" s="1"/>
      <c r="B174" s="1"/>
      <c r="C174" s="1"/>
      <c r="D174" s="1"/>
      <c r="E174" s="16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2" x14ac:dyDescent="0.25">
      <c r="A175" s="1"/>
      <c r="B175" s="1"/>
      <c r="C175" s="1"/>
      <c r="D175" s="1"/>
      <c r="E175" s="16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3.2" x14ac:dyDescent="0.25">
      <c r="A176" s="1"/>
      <c r="B176" s="1"/>
      <c r="C176" s="1"/>
      <c r="D176" s="1"/>
      <c r="E176" s="16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3.2" x14ac:dyDescent="0.25">
      <c r="A177" s="1"/>
      <c r="B177" s="1"/>
      <c r="C177" s="1"/>
      <c r="D177" s="1"/>
      <c r="E177" s="16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3.2" x14ac:dyDescent="0.25">
      <c r="A178" s="1"/>
      <c r="B178" s="1"/>
      <c r="C178" s="1"/>
      <c r="D178" s="1"/>
      <c r="E178" s="16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2" x14ac:dyDescent="0.25">
      <c r="A179" s="1"/>
      <c r="B179" s="1"/>
      <c r="C179" s="1"/>
      <c r="D179" s="1"/>
      <c r="E179" s="16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3.2" x14ac:dyDescent="0.25">
      <c r="A180" s="1"/>
      <c r="B180" s="1"/>
      <c r="C180" s="1"/>
      <c r="D180" s="1"/>
      <c r="E180" s="16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3.2" x14ac:dyDescent="0.25">
      <c r="A181" s="1"/>
      <c r="B181" s="1"/>
      <c r="C181" s="1"/>
      <c r="D181" s="1"/>
      <c r="E181" s="16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2" x14ac:dyDescent="0.25">
      <c r="A182" s="1"/>
      <c r="B182" s="1"/>
      <c r="C182" s="1"/>
      <c r="D182" s="1"/>
      <c r="E182" s="16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3.2" x14ac:dyDescent="0.25">
      <c r="A183" s="1"/>
      <c r="B183" s="1"/>
      <c r="C183" s="1"/>
      <c r="D183" s="1"/>
      <c r="E183" s="16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3.2" x14ac:dyDescent="0.25">
      <c r="A184" s="1"/>
      <c r="B184" s="1"/>
      <c r="C184" s="1"/>
      <c r="D184" s="1"/>
      <c r="E184" s="16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3.2" x14ac:dyDescent="0.25">
      <c r="A185" s="1"/>
      <c r="B185" s="1"/>
      <c r="C185" s="1"/>
      <c r="D185" s="1"/>
      <c r="E185" s="16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3.2" x14ac:dyDescent="0.25">
      <c r="A186" s="1"/>
      <c r="B186" s="1"/>
      <c r="C186" s="1"/>
      <c r="D186" s="1"/>
      <c r="E186" s="16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3.2" x14ac:dyDescent="0.25">
      <c r="A187" s="1"/>
      <c r="B187" s="1"/>
      <c r="C187" s="1"/>
      <c r="D187" s="1"/>
      <c r="E187" s="16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3.2" x14ac:dyDescent="0.25">
      <c r="A188" s="1"/>
      <c r="B188" s="1"/>
      <c r="C188" s="1"/>
      <c r="D188" s="1"/>
      <c r="E188" s="16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2" x14ac:dyDescent="0.25">
      <c r="A189" s="1"/>
      <c r="B189" s="1"/>
      <c r="C189" s="1"/>
      <c r="D189" s="1"/>
      <c r="E189" s="16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3.2" x14ac:dyDescent="0.25">
      <c r="A190" s="1"/>
      <c r="B190" s="1"/>
      <c r="C190" s="1"/>
      <c r="D190" s="1"/>
      <c r="E190" s="16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3.2" x14ac:dyDescent="0.25">
      <c r="A191" s="1"/>
      <c r="B191" s="1"/>
      <c r="C191" s="1"/>
      <c r="D191" s="1"/>
      <c r="E191" s="16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3.2" x14ac:dyDescent="0.25">
      <c r="A192" s="1"/>
      <c r="B192" s="1"/>
      <c r="C192" s="1"/>
      <c r="D192" s="1"/>
      <c r="E192" s="16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3.2" x14ac:dyDescent="0.25">
      <c r="A193" s="1"/>
      <c r="B193" s="1"/>
      <c r="C193" s="1"/>
      <c r="D193" s="1"/>
      <c r="E193" s="16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2" x14ac:dyDescent="0.25">
      <c r="A194" s="1"/>
      <c r="B194" s="1"/>
      <c r="C194" s="1"/>
      <c r="D194" s="1"/>
      <c r="E194" s="16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3.2" x14ac:dyDescent="0.25">
      <c r="A195" s="1"/>
      <c r="B195" s="1"/>
      <c r="C195" s="1"/>
      <c r="D195" s="1"/>
      <c r="E195" s="16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2" x14ac:dyDescent="0.25">
      <c r="A196" s="1"/>
      <c r="B196" s="1"/>
      <c r="C196" s="1"/>
      <c r="D196" s="1"/>
      <c r="E196" s="16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3.2" x14ac:dyDescent="0.25">
      <c r="A197" s="1"/>
      <c r="B197" s="1"/>
      <c r="C197" s="1"/>
      <c r="D197" s="1"/>
      <c r="E197" s="16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3.2" x14ac:dyDescent="0.25">
      <c r="A198" s="1"/>
      <c r="B198" s="1"/>
      <c r="C198" s="1"/>
      <c r="D198" s="1"/>
      <c r="E198" s="16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3.2" x14ac:dyDescent="0.25">
      <c r="A199" s="1"/>
      <c r="B199" s="1"/>
      <c r="C199" s="1"/>
      <c r="D199" s="1"/>
      <c r="E199" s="16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3.2" x14ac:dyDescent="0.25">
      <c r="A200" s="1"/>
      <c r="B200" s="1"/>
      <c r="C200" s="1"/>
      <c r="D200" s="1"/>
      <c r="E200" s="16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3.2" x14ac:dyDescent="0.25">
      <c r="A201" s="1"/>
      <c r="B201" s="1"/>
      <c r="C201" s="1"/>
      <c r="D201" s="1"/>
      <c r="E201" s="16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3.2" x14ac:dyDescent="0.25">
      <c r="A202" s="1"/>
      <c r="B202" s="1"/>
      <c r="C202" s="1"/>
      <c r="D202" s="1"/>
      <c r="E202" s="16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3.2" x14ac:dyDescent="0.25">
      <c r="A203" s="1"/>
      <c r="B203" s="1"/>
      <c r="C203" s="1"/>
      <c r="D203" s="1"/>
      <c r="E203" s="16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3.2" x14ac:dyDescent="0.25">
      <c r="A204" s="1"/>
      <c r="B204" s="1"/>
      <c r="C204" s="1"/>
      <c r="D204" s="1"/>
      <c r="E204" s="16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3.2" x14ac:dyDescent="0.25">
      <c r="A205" s="1"/>
      <c r="B205" s="1"/>
      <c r="C205" s="1"/>
      <c r="D205" s="1"/>
      <c r="E205" s="16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3.2" x14ac:dyDescent="0.25">
      <c r="A206" s="1"/>
      <c r="B206" s="1"/>
      <c r="C206" s="1"/>
      <c r="D206" s="1"/>
      <c r="E206" s="16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3.2" x14ac:dyDescent="0.25">
      <c r="A207" s="1"/>
      <c r="B207" s="1"/>
      <c r="C207" s="1"/>
      <c r="D207" s="1"/>
      <c r="E207" s="16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3.2" x14ac:dyDescent="0.25">
      <c r="A208" s="1"/>
      <c r="B208" s="1"/>
      <c r="C208" s="1"/>
      <c r="D208" s="1"/>
      <c r="E208" s="16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3.2" x14ac:dyDescent="0.25">
      <c r="A209" s="1"/>
      <c r="B209" s="1"/>
      <c r="C209" s="1"/>
      <c r="D209" s="1"/>
      <c r="E209" s="16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3.2" x14ac:dyDescent="0.25">
      <c r="A210" s="1"/>
      <c r="B210" s="1"/>
      <c r="C210" s="1"/>
      <c r="D210" s="1"/>
      <c r="E210" s="16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3.2" x14ac:dyDescent="0.25">
      <c r="A211" s="1"/>
      <c r="B211" s="1"/>
      <c r="C211" s="1"/>
      <c r="D211" s="1"/>
      <c r="E211" s="16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3.2" x14ac:dyDescent="0.25">
      <c r="A212" s="1"/>
      <c r="B212" s="1"/>
      <c r="C212" s="1"/>
      <c r="D212" s="1"/>
      <c r="E212" s="16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3.2" x14ac:dyDescent="0.25">
      <c r="A213" s="1"/>
      <c r="B213" s="1"/>
      <c r="C213" s="1"/>
      <c r="D213" s="1"/>
      <c r="E213" s="16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3.2" x14ac:dyDescent="0.25">
      <c r="A214" s="1"/>
      <c r="B214" s="1"/>
      <c r="C214" s="1"/>
      <c r="D214" s="1"/>
      <c r="E214" s="16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3.2" x14ac:dyDescent="0.25">
      <c r="A215" s="1"/>
      <c r="B215" s="1"/>
      <c r="C215" s="1"/>
      <c r="D215" s="1"/>
      <c r="E215" s="16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3.2" x14ac:dyDescent="0.25">
      <c r="A216" s="1"/>
      <c r="B216" s="1"/>
      <c r="C216" s="1"/>
      <c r="D216" s="1"/>
      <c r="E216" s="16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3.2" x14ac:dyDescent="0.25">
      <c r="A217" s="1"/>
      <c r="B217" s="1"/>
      <c r="C217" s="1"/>
      <c r="D217" s="1"/>
      <c r="E217" s="16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3.2" x14ac:dyDescent="0.25">
      <c r="A218" s="1"/>
      <c r="B218" s="1"/>
      <c r="C218" s="1"/>
      <c r="D218" s="1"/>
      <c r="E218" s="16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3.2" x14ac:dyDescent="0.25">
      <c r="A219" s="1"/>
      <c r="B219" s="1"/>
      <c r="C219" s="1"/>
      <c r="D219" s="1"/>
      <c r="E219" s="16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3.2" x14ac:dyDescent="0.25">
      <c r="A220" s="1"/>
      <c r="B220" s="1"/>
      <c r="C220" s="1"/>
      <c r="D220" s="1"/>
      <c r="E220" s="16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3.2" x14ac:dyDescent="0.25">
      <c r="A221" s="1"/>
      <c r="B221" s="1"/>
      <c r="C221" s="1"/>
      <c r="D221" s="1"/>
      <c r="E221" s="16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3.2" x14ac:dyDescent="0.25">
      <c r="A222" s="1"/>
      <c r="B222" s="1"/>
      <c r="C222" s="1"/>
      <c r="D222" s="1"/>
      <c r="E222" s="16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3.2" x14ac:dyDescent="0.25">
      <c r="A223" s="1"/>
      <c r="B223" s="1"/>
      <c r="C223" s="1"/>
      <c r="D223" s="1"/>
      <c r="E223" s="16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3.2" x14ac:dyDescent="0.25">
      <c r="A224" s="1"/>
      <c r="B224" s="1"/>
      <c r="C224" s="1"/>
      <c r="D224" s="1"/>
      <c r="E224" s="16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3.2" x14ac:dyDescent="0.25">
      <c r="A225" s="1"/>
      <c r="B225" s="1"/>
      <c r="C225" s="1"/>
      <c r="D225" s="1"/>
      <c r="E225" s="16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3.2" x14ac:dyDescent="0.25">
      <c r="A226" s="1"/>
      <c r="B226" s="1"/>
      <c r="C226" s="1"/>
      <c r="D226" s="1"/>
      <c r="E226" s="16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3.2" x14ac:dyDescent="0.25">
      <c r="A227" s="1"/>
      <c r="B227" s="1"/>
      <c r="C227" s="1"/>
      <c r="D227" s="1"/>
      <c r="E227" s="16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3.2" x14ac:dyDescent="0.25">
      <c r="A228" s="1"/>
      <c r="B228" s="1"/>
      <c r="C228" s="1"/>
      <c r="D228" s="1"/>
      <c r="E228" s="16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3.2" x14ac:dyDescent="0.25">
      <c r="A229" s="1"/>
      <c r="B229" s="1"/>
      <c r="C229" s="1"/>
      <c r="D229" s="1"/>
      <c r="E229" s="16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3.2" x14ac:dyDescent="0.25">
      <c r="A230" s="1"/>
      <c r="B230" s="1"/>
      <c r="C230" s="1"/>
      <c r="D230" s="1"/>
      <c r="E230" s="16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3.2" x14ac:dyDescent="0.25">
      <c r="A231" s="1"/>
      <c r="B231" s="1"/>
      <c r="C231" s="1"/>
      <c r="D231" s="1"/>
      <c r="E231" s="16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3.2" x14ac:dyDescent="0.25">
      <c r="A232" s="1"/>
      <c r="B232" s="1"/>
      <c r="C232" s="1"/>
      <c r="D232" s="1"/>
      <c r="E232" s="16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3.2" x14ac:dyDescent="0.25">
      <c r="A233" s="1"/>
      <c r="B233" s="1"/>
      <c r="C233" s="1"/>
      <c r="D233" s="1"/>
      <c r="E233" s="16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3.2" x14ac:dyDescent="0.25">
      <c r="A234" s="1"/>
      <c r="B234" s="1"/>
      <c r="C234" s="1"/>
      <c r="D234" s="1"/>
      <c r="E234" s="16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3.2" x14ac:dyDescent="0.25">
      <c r="A235" s="1"/>
      <c r="B235" s="1"/>
      <c r="C235" s="1"/>
      <c r="D235" s="1"/>
      <c r="E235" s="16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3.2" x14ac:dyDescent="0.25">
      <c r="A236" s="1"/>
      <c r="B236" s="1"/>
      <c r="C236" s="1"/>
      <c r="D236" s="1"/>
      <c r="E236" s="16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3.2" x14ac:dyDescent="0.25">
      <c r="A237" s="1"/>
      <c r="B237" s="1"/>
      <c r="C237" s="1"/>
      <c r="D237" s="1"/>
      <c r="E237" s="16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3.2" x14ac:dyDescent="0.25">
      <c r="A238" s="1"/>
      <c r="B238" s="1"/>
      <c r="C238" s="1"/>
      <c r="D238" s="1"/>
      <c r="E238" s="16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3.2" x14ac:dyDescent="0.25">
      <c r="A239" s="1"/>
      <c r="B239" s="1"/>
      <c r="C239" s="1"/>
      <c r="D239" s="1"/>
      <c r="E239" s="16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3.2" x14ac:dyDescent="0.25">
      <c r="A240" s="1"/>
      <c r="B240" s="1"/>
      <c r="C240" s="1"/>
      <c r="D240" s="1"/>
      <c r="E240" s="16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3.2" x14ac:dyDescent="0.25">
      <c r="A241" s="1"/>
      <c r="B241" s="1"/>
      <c r="C241" s="1"/>
      <c r="D241" s="1"/>
      <c r="E241" s="16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3.2" x14ac:dyDescent="0.25">
      <c r="A242" s="1"/>
      <c r="B242" s="1"/>
      <c r="C242" s="1"/>
      <c r="D242" s="1"/>
      <c r="E242" s="16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3.2" x14ac:dyDescent="0.25">
      <c r="A243" s="1"/>
      <c r="B243" s="1"/>
      <c r="C243" s="1"/>
      <c r="D243" s="1"/>
      <c r="E243" s="16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3.2" x14ac:dyDescent="0.25">
      <c r="A244" s="1"/>
      <c r="B244" s="1"/>
      <c r="C244" s="1"/>
      <c r="D244" s="1"/>
      <c r="E244" s="16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3.2" x14ac:dyDescent="0.25">
      <c r="A245" s="1"/>
      <c r="B245" s="1"/>
      <c r="C245" s="1"/>
      <c r="D245" s="1"/>
      <c r="E245" s="16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3.2" x14ac:dyDescent="0.25">
      <c r="A246" s="1"/>
      <c r="B246" s="1"/>
      <c r="C246" s="1"/>
      <c r="D246" s="1"/>
      <c r="E246" s="16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3.2" x14ac:dyDescent="0.25">
      <c r="A247" s="1"/>
      <c r="B247" s="1"/>
      <c r="C247" s="1"/>
      <c r="D247" s="1"/>
      <c r="E247" s="16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3.2" x14ac:dyDescent="0.25">
      <c r="A248" s="1"/>
      <c r="B248" s="1"/>
      <c r="C248" s="1"/>
      <c r="D248" s="1"/>
      <c r="E248" s="16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3.2" x14ac:dyDescent="0.25">
      <c r="A249" s="1"/>
      <c r="B249" s="1"/>
      <c r="C249" s="1"/>
      <c r="D249" s="1"/>
      <c r="E249" s="16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3.2" x14ac:dyDescent="0.25">
      <c r="A250" s="1"/>
      <c r="B250" s="1"/>
      <c r="C250" s="1"/>
      <c r="D250" s="1"/>
      <c r="E250" s="16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3.2" x14ac:dyDescent="0.25">
      <c r="A251" s="1"/>
      <c r="B251" s="1"/>
      <c r="C251" s="1"/>
      <c r="D251" s="1"/>
      <c r="E251" s="16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3.2" x14ac:dyDescent="0.25">
      <c r="A252" s="1"/>
      <c r="B252" s="1"/>
      <c r="C252" s="1"/>
      <c r="D252" s="1"/>
      <c r="E252" s="16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3.2" x14ac:dyDescent="0.25">
      <c r="A253" s="1"/>
      <c r="B253" s="1"/>
      <c r="C253" s="1"/>
      <c r="D253" s="1"/>
      <c r="E253" s="16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3.2" x14ac:dyDescent="0.25">
      <c r="A254" s="1"/>
      <c r="B254" s="1"/>
      <c r="C254" s="1"/>
      <c r="D254" s="1"/>
      <c r="E254" s="16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3.2" x14ac:dyDescent="0.25">
      <c r="A255" s="1"/>
      <c r="B255" s="1"/>
      <c r="C255" s="1"/>
      <c r="D255" s="1"/>
      <c r="E255" s="16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3.2" x14ac:dyDescent="0.25">
      <c r="A256" s="1"/>
      <c r="B256" s="1"/>
      <c r="C256" s="1"/>
      <c r="D256" s="1"/>
      <c r="E256" s="16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3.2" x14ac:dyDescent="0.25">
      <c r="A257" s="1"/>
      <c r="B257" s="1"/>
      <c r="C257" s="1"/>
      <c r="D257" s="1"/>
      <c r="E257" s="16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3.2" x14ac:dyDescent="0.25">
      <c r="A258" s="1"/>
      <c r="B258" s="1"/>
      <c r="C258" s="1"/>
      <c r="D258" s="1"/>
      <c r="E258" s="16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3.2" x14ac:dyDescent="0.25">
      <c r="A259" s="1"/>
      <c r="B259" s="1"/>
      <c r="C259" s="1"/>
      <c r="D259" s="1"/>
      <c r="E259" s="16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3.2" x14ac:dyDescent="0.25">
      <c r="A260" s="1"/>
      <c r="B260" s="1"/>
      <c r="C260" s="1"/>
      <c r="D260" s="1"/>
      <c r="E260" s="16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3.2" x14ac:dyDescent="0.25">
      <c r="A261" s="1"/>
      <c r="B261" s="1"/>
      <c r="C261" s="1"/>
      <c r="D261" s="1"/>
      <c r="E261" s="16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3.2" x14ac:dyDescent="0.25">
      <c r="A262" s="1"/>
      <c r="B262" s="1"/>
      <c r="C262" s="1"/>
      <c r="D262" s="1"/>
      <c r="E262" s="16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3.2" x14ac:dyDescent="0.25">
      <c r="A263" s="1"/>
      <c r="B263" s="1"/>
      <c r="C263" s="1"/>
      <c r="D263" s="1"/>
      <c r="E263" s="16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3.2" x14ac:dyDescent="0.25">
      <c r="A264" s="1"/>
      <c r="B264" s="1"/>
      <c r="C264" s="1"/>
      <c r="D264" s="1"/>
      <c r="E264" s="16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3.2" x14ac:dyDescent="0.25">
      <c r="A265" s="1"/>
      <c r="B265" s="1"/>
      <c r="C265" s="1"/>
      <c r="D265" s="1"/>
      <c r="E265" s="16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3.2" x14ac:dyDescent="0.25">
      <c r="A266" s="1"/>
      <c r="B266" s="1"/>
      <c r="C266" s="1"/>
      <c r="D266" s="1"/>
      <c r="E266" s="16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3.2" x14ac:dyDescent="0.25">
      <c r="A267" s="1"/>
      <c r="B267" s="1"/>
      <c r="C267" s="1"/>
      <c r="D267" s="1"/>
      <c r="E267" s="16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3.2" x14ac:dyDescent="0.25">
      <c r="A268" s="1"/>
      <c r="B268" s="1"/>
      <c r="C268" s="1"/>
      <c r="D268" s="1"/>
      <c r="E268" s="16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3.2" x14ac:dyDescent="0.25">
      <c r="A269" s="1"/>
      <c r="B269" s="1"/>
      <c r="C269" s="1"/>
      <c r="D269" s="1"/>
      <c r="E269" s="16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3.2" x14ac:dyDescent="0.25">
      <c r="A270" s="1"/>
      <c r="B270" s="1"/>
      <c r="C270" s="1"/>
      <c r="D270" s="1"/>
      <c r="E270" s="16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3.2" x14ac:dyDescent="0.25">
      <c r="A271" s="1"/>
      <c r="B271" s="1"/>
      <c r="C271" s="1"/>
      <c r="D271" s="1"/>
      <c r="E271" s="16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3.2" x14ac:dyDescent="0.25">
      <c r="A272" s="1"/>
      <c r="B272" s="1"/>
      <c r="C272" s="1"/>
      <c r="D272" s="1"/>
      <c r="E272" s="16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3.2" x14ac:dyDescent="0.25">
      <c r="A273" s="1"/>
      <c r="B273" s="1"/>
      <c r="C273" s="1"/>
      <c r="D273" s="1"/>
      <c r="E273" s="16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3.2" x14ac:dyDescent="0.25">
      <c r="A274" s="1"/>
      <c r="B274" s="1"/>
      <c r="C274" s="1"/>
      <c r="D274" s="1"/>
      <c r="E274" s="16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3.2" x14ac:dyDescent="0.25">
      <c r="A275" s="1"/>
      <c r="B275" s="1"/>
      <c r="C275" s="1"/>
      <c r="D275" s="1"/>
      <c r="E275" s="16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3.2" x14ac:dyDescent="0.25">
      <c r="A276" s="1"/>
      <c r="B276" s="1"/>
      <c r="C276" s="1"/>
      <c r="D276" s="1"/>
      <c r="E276" s="16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3.2" x14ac:dyDescent="0.25">
      <c r="A277" s="1"/>
      <c r="B277" s="1"/>
      <c r="C277" s="1"/>
      <c r="D277" s="1"/>
      <c r="E277" s="16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3.2" x14ac:dyDescent="0.25">
      <c r="A278" s="1"/>
      <c r="B278" s="1"/>
      <c r="C278" s="1"/>
      <c r="D278" s="1"/>
      <c r="E278" s="16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3.2" x14ac:dyDescent="0.25">
      <c r="A279" s="1"/>
      <c r="B279" s="1"/>
      <c r="C279" s="1"/>
      <c r="D279" s="1"/>
      <c r="E279" s="16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3.2" x14ac:dyDescent="0.25">
      <c r="A280" s="1"/>
      <c r="B280" s="1"/>
      <c r="C280" s="1"/>
      <c r="D280" s="1"/>
      <c r="E280" s="16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3.2" x14ac:dyDescent="0.25">
      <c r="A281" s="1"/>
      <c r="B281" s="1"/>
      <c r="C281" s="1"/>
      <c r="D281" s="1"/>
      <c r="E281" s="16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3.2" x14ac:dyDescent="0.25">
      <c r="A282" s="1"/>
      <c r="B282" s="1"/>
      <c r="C282" s="1"/>
      <c r="D282" s="1"/>
      <c r="E282" s="16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3.2" x14ac:dyDescent="0.25">
      <c r="A283" s="1"/>
      <c r="B283" s="1"/>
      <c r="C283" s="1"/>
      <c r="D283" s="1"/>
      <c r="E283" s="16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3.2" x14ac:dyDescent="0.25">
      <c r="A284" s="1"/>
      <c r="B284" s="1"/>
      <c r="C284" s="1"/>
      <c r="D284" s="1"/>
      <c r="E284" s="16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3.2" x14ac:dyDescent="0.25">
      <c r="A285" s="1"/>
      <c r="B285" s="1"/>
      <c r="C285" s="1"/>
      <c r="D285" s="1"/>
      <c r="E285" s="16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3.2" x14ac:dyDescent="0.25">
      <c r="A286" s="1"/>
      <c r="B286" s="1"/>
      <c r="C286" s="1"/>
      <c r="D286" s="1"/>
      <c r="E286" s="16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3.2" x14ac:dyDescent="0.25">
      <c r="A287" s="1"/>
      <c r="B287" s="1"/>
      <c r="C287" s="1"/>
      <c r="D287" s="1"/>
      <c r="E287" s="16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3.2" x14ac:dyDescent="0.25">
      <c r="A288" s="1"/>
      <c r="B288" s="1"/>
      <c r="C288" s="1"/>
      <c r="D288" s="1"/>
      <c r="E288" s="16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3.2" x14ac:dyDescent="0.25">
      <c r="A289" s="1"/>
      <c r="B289" s="1"/>
      <c r="C289" s="1"/>
      <c r="D289" s="1"/>
      <c r="E289" s="16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3.2" x14ac:dyDescent="0.25">
      <c r="A290" s="1"/>
      <c r="B290" s="1"/>
      <c r="C290" s="1"/>
      <c r="D290" s="1"/>
      <c r="E290" s="16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3.2" x14ac:dyDescent="0.25">
      <c r="A291" s="1"/>
      <c r="B291" s="1"/>
      <c r="C291" s="1"/>
      <c r="D291" s="1"/>
      <c r="E291" s="16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3.2" x14ac:dyDescent="0.25">
      <c r="A292" s="1"/>
      <c r="B292" s="1"/>
      <c r="C292" s="1"/>
      <c r="D292" s="1"/>
      <c r="E292" s="16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3.2" x14ac:dyDescent="0.25">
      <c r="A293" s="1"/>
      <c r="B293" s="1"/>
      <c r="C293" s="1"/>
      <c r="D293" s="1"/>
      <c r="E293" s="16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3.2" x14ac:dyDescent="0.25">
      <c r="A294" s="1"/>
      <c r="B294" s="1"/>
      <c r="C294" s="1"/>
      <c r="D294" s="1"/>
      <c r="E294" s="16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3.2" x14ac:dyDescent="0.25">
      <c r="A295" s="1"/>
      <c r="B295" s="1"/>
      <c r="C295" s="1"/>
      <c r="D295" s="1"/>
      <c r="E295" s="16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3.2" x14ac:dyDescent="0.25">
      <c r="A296" s="1"/>
      <c r="B296" s="1"/>
      <c r="C296" s="1"/>
      <c r="D296" s="1"/>
      <c r="E296" s="16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3.2" x14ac:dyDescent="0.25">
      <c r="A297" s="1"/>
      <c r="B297" s="1"/>
      <c r="C297" s="1"/>
      <c r="D297" s="1"/>
      <c r="E297" s="16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3.2" x14ac:dyDescent="0.25">
      <c r="A298" s="1"/>
      <c r="B298" s="1"/>
      <c r="C298" s="1"/>
      <c r="D298" s="1"/>
      <c r="E298" s="16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3.2" x14ac:dyDescent="0.25">
      <c r="A299" s="1"/>
      <c r="B299" s="1"/>
      <c r="C299" s="1"/>
      <c r="D299" s="1"/>
      <c r="E299" s="16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3.2" x14ac:dyDescent="0.25">
      <c r="A300" s="1"/>
      <c r="B300" s="1"/>
      <c r="C300" s="1"/>
      <c r="D300" s="1"/>
      <c r="E300" s="16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3.2" x14ac:dyDescent="0.25">
      <c r="A301" s="1"/>
      <c r="B301" s="1"/>
      <c r="C301" s="1"/>
      <c r="D301" s="1"/>
      <c r="E301" s="16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3.2" x14ac:dyDescent="0.25">
      <c r="A302" s="1"/>
      <c r="B302" s="1"/>
      <c r="C302" s="1"/>
      <c r="D302" s="1"/>
      <c r="E302" s="16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3.2" x14ac:dyDescent="0.25">
      <c r="A303" s="1"/>
      <c r="B303" s="1"/>
      <c r="C303" s="1"/>
      <c r="D303" s="1"/>
      <c r="E303" s="16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3.2" x14ac:dyDescent="0.25">
      <c r="A304" s="1"/>
      <c r="B304" s="1"/>
      <c r="C304" s="1"/>
      <c r="D304" s="1"/>
      <c r="E304" s="16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3.2" x14ac:dyDescent="0.25">
      <c r="A305" s="1"/>
      <c r="B305" s="1"/>
      <c r="C305" s="1"/>
      <c r="D305" s="1"/>
      <c r="E305" s="16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3.2" x14ac:dyDescent="0.25">
      <c r="A306" s="1"/>
      <c r="B306" s="1"/>
      <c r="C306" s="1"/>
      <c r="D306" s="1"/>
      <c r="E306" s="16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3.2" x14ac:dyDescent="0.25">
      <c r="A307" s="1"/>
      <c r="B307" s="1"/>
      <c r="C307" s="1"/>
      <c r="D307" s="1"/>
      <c r="E307" s="16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3.2" x14ac:dyDescent="0.25">
      <c r="A308" s="1"/>
      <c r="B308" s="1"/>
      <c r="C308" s="1"/>
      <c r="D308" s="1"/>
      <c r="E308" s="16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3.2" x14ac:dyDescent="0.25">
      <c r="A309" s="1"/>
      <c r="B309" s="1"/>
      <c r="C309" s="1"/>
      <c r="D309" s="1"/>
      <c r="E309" s="16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3.2" x14ac:dyDescent="0.25">
      <c r="A310" s="1"/>
      <c r="B310" s="1"/>
      <c r="C310" s="1"/>
      <c r="D310" s="1"/>
      <c r="E310" s="16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3.2" x14ac:dyDescent="0.25">
      <c r="A311" s="1"/>
      <c r="B311" s="1"/>
      <c r="C311" s="1"/>
      <c r="D311" s="1"/>
      <c r="E311" s="16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3.2" x14ac:dyDescent="0.25">
      <c r="A312" s="1"/>
      <c r="B312" s="1"/>
      <c r="C312" s="1"/>
      <c r="D312" s="1"/>
      <c r="E312" s="16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3.2" x14ac:dyDescent="0.25">
      <c r="A313" s="1"/>
      <c r="B313" s="1"/>
      <c r="C313" s="1"/>
      <c r="D313" s="1"/>
      <c r="E313" s="16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3.2" x14ac:dyDescent="0.25">
      <c r="A314" s="1"/>
      <c r="B314" s="1"/>
      <c r="C314" s="1"/>
      <c r="D314" s="1"/>
      <c r="E314" s="16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3.2" x14ac:dyDescent="0.25">
      <c r="A315" s="1"/>
      <c r="B315" s="1"/>
      <c r="C315" s="1"/>
      <c r="D315" s="1"/>
      <c r="E315" s="16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3.2" x14ac:dyDescent="0.25">
      <c r="A316" s="1"/>
      <c r="B316" s="1"/>
      <c r="C316" s="1"/>
      <c r="D316" s="1"/>
      <c r="E316" s="16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3.2" x14ac:dyDescent="0.25">
      <c r="A317" s="1"/>
      <c r="B317" s="1"/>
      <c r="C317" s="1"/>
      <c r="D317" s="1"/>
      <c r="E317" s="16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3.2" x14ac:dyDescent="0.25">
      <c r="A318" s="1"/>
      <c r="B318" s="1"/>
      <c r="C318" s="1"/>
      <c r="D318" s="1"/>
      <c r="E318" s="16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3.2" x14ac:dyDescent="0.25">
      <c r="A319" s="1"/>
      <c r="B319" s="1"/>
      <c r="C319" s="1"/>
      <c r="D319" s="1"/>
      <c r="E319" s="16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3.2" x14ac:dyDescent="0.25">
      <c r="A320" s="1"/>
      <c r="B320" s="1"/>
      <c r="C320" s="1"/>
      <c r="D320" s="1"/>
      <c r="E320" s="16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3.2" x14ac:dyDescent="0.25">
      <c r="A321" s="1"/>
      <c r="B321" s="1"/>
      <c r="C321" s="1"/>
      <c r="D321" s="1"/>
      <c r="E321" s="16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3.2" x14ac:dyDescent="0.25">
      <c r="A322" s="1"/>
      <c r="B322" s="1"/>
      <c r="C322" s="1"/>
      <c r="D322" s="1"/>
      <c r="E322" s="16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3.2" x14ac:dyDescent="0.25">
      <c r="A323" s="1"/>
      <c r="B323" s="1"/>
      <c r="C323" s="1"/>
      <c r="D323" s="1"/>
      <c r="E323" s="16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3.2" x14ac:dyDescent="0.25">
      <c r="A324" s="1"/>
      <c r="B324" s="1"/>
      <c r="C324" s="1"/>
      <c r="D324" s="1"/>
      <c r="E324" s="16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3.2" x14ac:dyDescent="0.25">
      <c r="A325" s="1"/>
      <c r="B325" s="1"/>
      <c r="C325" s="1"/>
      <c r="D325" s="1"/>
      <c r="E325" s="16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3.2" x14ac:dyDescent="0.25">
      <c r="A326" s="1"/>
      <c r="B326" s="1"/>
      <c r="C326" s="1"/>
      <c r="D326" s="1"/>
      <c r="E326" s="16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3.2" x14ac:dyDescent="0.25">
      <c r="A327" s="1"/>
      <c r="B327" s="1"/>
      <c r="C327" s="1"/>
      <c r="D327" s="1"/>
      <c r="E327" s="16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3.2" x14ac:dyDescent="0.25">
      <c r="A328" s="1"/>
      <c r="B328" s="1"/>
      <c r="C328" s="1"/>
      <c r="D328" s="1"/>
      <c r="E328" s="16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3.2" x14ac:dyDescent="0.25">
      <c r="A329" s="1"/>
      <c r="B329" s="1"/>
      <c r="C329" s="1"/>
      <c r="D329" s="1"/>
      <c r="E329" s="16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3.2" x14ac:dyDescent="0.25">
      <c r="A330" s="1"/>
      <c r="B330" s="1"/>
      <c r="C330" s="1"/>
      <c r="D330" s="1"/>
      <c r="E330" s="16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3.2" x14ac:dyDescent="0.25">
      <c r="A331" s="1"/>
      <c r="B331" s="1"/>
      <c r="C331" s="1"/>
      <c r="D331" s="1"/>
      <c r="E331" s="16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3.2" x14ac:dyDescent="0.25">
      <c r="A332" s="1"/>
      <c r="B332" s="1"/>
      <c r="C332" s="1"/>
      <c r="D332" s="1"/>
      <c r="E332" s="16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3.2" x14ac:dyDescent="0.25">
      <c r="A333" s="1"/>
      <c r="B333" s="1"/>
      <c r="C333" s="1"/>
      <c r="D333" s="1"/>
      <c r="E333" s="16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3.2" x14ac:dyDescent="0.25">
      <c r="A334" s="1"/>
      <c r="B334" s="1"/>
      <c r="C334" s="1"/>
      <c r="D334" s="1"/>
      <c r="E334" s="16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3.2" x14ac:dyDescent="0.25">
      <c r="A335" s="1"/>
      <c r="B335" s="1"/>
      <c r="C335" s="1"/>
      <c r="D335" s="1"/>
      <c r="E335" s="16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3.2" x14ac:dyDescent="0.25">
      <c r="A336" s="1"/>
      <c r="B336" s="1"/>
      <c r="C336" s="1"/>
      <c r="D336" s="1"/>
      <c r="E336" s="16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3.2" x14ac:dyDescent="0.25">
      <c r="A337" s="1"/>
      <c r="B337" s="1"/>
      <c r="C337" s="1"/>
      <c r="D337" s="1"/>
      <c r="E337" s="16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3.2" x14ac:dyDescent="0.25">
      <c r="A338" s="1"/>
      <c r="B338" s="1"/>
      <c r="C338" s="1"/>
      <c r="D338" s="1"/>
      <c r="E338" s="16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3.2" x14ac:dyDescent="0.25">
      <c r="A339" s="1"/>
      <c r="B339" s="1"/>
      <c r="C339" s="1"/>
      <c r="D339" s="1"/>
      <c r="E339" s="16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3.2" x14ac:dyDescent="0.25">
      <c r="A340" s="1"/>
      <c r="B340" s="1"/>
      <c r="C340" s="1"/>
      <c r="D340" s="1"/>
      <c r="E340" s="16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3.2" x14ac:dyDescent="0.25">
      <c r="A341" s="1"/>
      <c r="B341" s="1"/>
      <c r="C341" s="1"/>
      <c r="D341" s="1"/>
      <c r="E341" s="16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3.2" x14ac:dyDescent="0.25">
      <c r="A342" s="1"/>
      <c r="B342" s="1"/>
      <c r="C342" s="1"/>
      <c r="D342" s="1"/>
      <c r="E342" s="16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3.2" x14ac:dyDescent="0.25">
      <c r="A343" s="1"/>
      <c r="B343" s="1"/>
      <c r="C343" s="1"/>
      <c r="D343" s="1"/>
      <c r="E343" s="16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3.2" x14ac:dyDescent="0.25">
      <c r="A344" s="1"/>
      <c r="B344" s="1"/>
      <c r="C344" s="1"/>
      <c r="D344" s="1"/>
      <c r="E344" s="16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3.2" x14ac:dyDescent="0.25">
      <c r="A345" s="1"/>
      <c r="B345" s="1"/>
      <c r="C345" s="1"/>
      <c r="D345" s="1"/>
      <c r="E345" s="16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3.2" x14ac:dyDescent="0.25">
      <c r="A346" s="1"/>
      <c r="B346" s="1"/>
      <c r="C346" s="1"/>
      <c r="D346" s="1"/>
      <c r="E346" s="16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3.2" x14ac:dyDescent="0.25">
      <c r="A347" s="1"/>
      <c r="B347" s="1"/>
      <c r="C347" s="1"/>
      <c r="D347" s="1"/>
      <c r="E347" s="16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3.2" x14ac:dyDescent="0.25">
      <c r="A348" s="1"/>
      <c r="B348" s="1"/>
      <c r="C348" s="1"/>
      <c r="D348" s="1"/>
      <c r="E348" s="16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3.2" x14ac:dyDescent="0.25">
      <c r="A349" s="1"/>
      <c r="B349" s="1"/>
      <c r="C349" s="1"/>
      <c r="D349" s="1"/>
      <c r="E349" s="16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3.2" x14ac:dyDescent="0.25">
      <c r="A350" s="1"/>
      <c r="B350" s="1"/>
      <c r="C350" s="1"/>
      <c r="D350" s="1"/>
      <c r="E350" s="16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3.2" x14ac:dyDescent="0.25">
      <c r="A351" s="1"/>
      <c r="B351" s="1"/>
      <c r="C351" s="1"/>
      <c r="D351" s="1"/>
      <c r="E351" s="16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3.2" x14ac:dyDescent="0.25">
      <c r="A352" s="1"/>
      <c r="B352" s="1"/>
      <c r="C352" s="1"/>
      <c r="D352" s="1"/>
      <c r="E352" s="16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3.2" x14ac:dyDescent="0.25">
      <c r="A353" s="1"/>
      <c r="B353" s="1"/>
      <c r="C353" s="1"/>
      <c r="D353" s="1"/>
      <c r="E353" s="16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3.2" x14ac:dyDescent="0.25">
      <c r="A354" s="1"/>
      <c r="B354" s="1"/>
      <c r="C354" s="1"/>
      <c r="D354" s="1"/>
      <c r="E354" s="16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3.2" x14ac:dyDescent="0.25">
      <c r="A355" s="1"/>
      <c r="B355" s="1"/>
      <c r="C355" s="1"/>
      <c r="D355" s="1"/>
      <c r="E355" s="16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3.2" x14ac:dyDescent="0.25">
      <c r="A356" s="1"/>
      <c r="B356" s="1"/>
      <c r="C356" s="1"/>
      <c r="D356" s="1"/>
      <c r="E356" s="16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3.2" x14ac:dyDescent="0.25">
      <c r="A357" s="1"/>
      <c r="B357" s="1"/>
      <c r="C357" s="1"/>
      <c r="D357" s="1"/>
      <c r="E357" s="16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3.2" x14ac:dyDescent="0.25">
      <c r="A358" s="1"/>
      <c r="B358" s="1"/>
      <c r="C358" s="1"/>
      <c r="D358" s="1"/>
      <c r="E358" s="16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3.2" x14ac:dyDescent="0.25">
      <c r="A359" s="1"/>
      <c r="B359" s="1"/>
      <c r="C359" s="1"/>
      <c r="D359" s="1"/>
      <c r="E359" s="16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3.2" x14ac:dyDescent="0.25">
      <c r="A360" s="1"/>
      <c r="B360" s="1"/>
      <c r="C360" s="1"/>
      <c r="D360" s="1"/>
      <c r="E360" s="16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3.2" x14ac:dyDescent="0.25">
      <c r="A361" s="1"/>
      <c r="B361" s="1"/>
      <c r="C361" s="1"/>
      <c r="D361" s="1"/>
      <c r="E361" s="16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3.2" x14ac:dyDescent="0.25">
      <c r="A362" s="1"/>
      <c r="B362" s="1"/>
      <c r="C362" s="1"/>
      <c r="D362" s="1"/>
      <c r="E362" s="16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3.2" x14ac:dyDescent="0.25">
      <c r="A363" s="1"/>
      <c r="B363" s="1"/>
      <c r="C363" s="1"/>
      <c r="D363" s="1"/>
      <c r="E363" s="16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3.2" x14ac:dyDescent="0.25">
      <c r="A364" s="1"/>
      <c r="B364" s="1"/>
      <c r="C364" s="1"/>
      <c r="D364" s="1"/>
      <c r="E364" s="16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3.2" x14ac:dyDescent="0.25">
      <c r="A365" s="1"/>
      <c r="B365" s="1"/>
      <c r="C365" s="1"/>
      <c r="D365" s="1"/>
      <c r="E365" s="16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3.2" x14ac:dyDescent="0.25">
      <c r="A366" s="1"/>
      <c r="B366" s="1"/>
      <c r="C366" s="1"/>
      <c r="D366" s="1"/>
      <c r="E366" s="16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3.2" x14ac:dyDescent="0.25">
      <c r="A367" s="1"/>
      <c r="B367" s="1"/>
      <c r="C367" s="1"/>
      <c r="D367" s="1"/>
      <c r="E367" s="16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3.2" x14ac:dyDescent="0.25">
      <c r="A368" s="1"/>
      <c r="B368" s="1"/>
      <c r="C368" s="1"/>
      <c r="D368" s="1"/>
      <c r="E368" s="16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3.2" x14ac:dyDescent="0.25">
      <c r="A369" s="1"/>
      <c r="B369" s="1"/>
      <c r="C369" s="1"/>
      <c r="D369" s="1"/>
      <c r="E369" s="16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3.2" x14ac:dyDescent="0.25">
      <c r="A370" s="1"/>
      <c r="B370" s="1"/>
      <c r="C370" s="1"/>
      <c r="D370" s="1"/>
      <c r="E370" s="16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3.2" x14ac:dyDescent="0.25">
      <c r="A371" s="1"/>
      <c r="B371" s="1"/>
      <c r="C371" s="1"/>
      <c r="D371" s="1"/>
      <c r="E371" s="16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3.2" x14ac:dyDescent="0.25">
      <c r="A372" s="1"/>
      <c r="B372" s="1"/>
      <c r="C372" s="1"/>
      <c r="D372" s="1"/>
      <c r="E372" s="16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3.2" x14ac:dyDescent="0.25">
      <c r="A373" s="1"/>
      <c r="B373" s="1"/>
      <c r="C373" s="1"/>
      <c r="D373" s="1"/>
      <c r="E373" s="16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3.2" x14ac:dyDescent="0.25">
      <c r="A374" s="1"/>
      <c r="B374" s="1"/>
      <c r="C374" s="1"/>
      <c r="D374" s="1"/>
      <c r="E374" s="16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3.2" x14ac:dyDescent="0.25">
      <c r="A375" s="1"/>
      <c r="B375" s="1"/>
      <c r="C375" s="1"/>
      <c r="D375" s="1"/>
      <c r="E375" s="16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3.2" x14ac:dyDescent="0.25">
      <c r="A376" s="1"/>
      <c r="B376" s="1"/>
      <c r="C376" s="1"/>
      <c r="D376" s="1"/>
      <c r="E376" s="16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3.2" x14ac:dyDescent="0.25">
      <c r="A377" s="1"/>
      <c r="B377" s="1"/>
      <c r="C377" s="1"/>
      <c r="D377" s="1"/>
      <c r="E377" s="16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3.2" x14ac:dyDescent="0.25">
      <c r="A378" s="1"/>
      <c r="B378" s="1"/>
      <c r="C378" s="1"/>
      <c r="D378" s="1"/>
      <c r="E378" s="16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3.2" x14ac:dyDescent="0.25">
      <c r="A379" s="1"/>
      <c r="B379" s="1"/>
      <c r="C379" s="1"/>
      <c r="D379" s="1"/>
      <c r="E379" s="16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3.2" x14ac:dyDescent="0.25">
      <c r="A380" s="1"/>
      <c r="B380" s="1"/>
      <c r="C380" s="1"/>
      <c r="D380" s="1"/>
      <c r="E380" s="16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3.2" x14ac:dyDescent="0.25">
      <c r="A381" s="1"/>
      <c r="B381" s="1"/>
      <c r="C381" s="1"/>
      <c r="D381" s="1"/>
      <c r="E381" s="16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3.2" x14ac:dyDescent="0.25">
      <c r="A382" s="1"/>
      <c r="B382" s="1"/>
      <c r="C382" s="1"/>
      <c r="D382" s="1"/>
      <c r="E382" s="16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3.2" x14ac:dyDescent="0.25">
      <c r="A383" s="1"/>
      <c r="B383" s="1"/>
      <c r="C383" s="1"/>
      <c r="D383" s="1"/>
      <c r="E383" s="16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3.2" x14ac:dyDescent="0.25">
      <c r="A384" s="1"/>
      <c r="B384" s="1"/>
      <c r="C384" s="1"/>
      <c r="D384" s="1"/>
      <c r="E384" s="16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3.2" x14ac:dyDescent="0.25">
      <c r="A385" s="1"/>
      <c r="B385" s="1"/>
      <c r="C385" s="1"/>
      <c r="D385" s="1"/>
      <c r="E385" s="16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3.2" x14ac:dyDescent="0.25">
      <c r="A386" s="1"/>
      <c r="B386" s="1"/>
      <c r="C386" s="1"/>
      <c r="D386" s="1"/>
      <c r="E386" s="16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3.2" x14ac:dyDescent="0.25">
      <c r="A387" s="1"/>
      <c r="B387" s="1"/>
      <c r="C387" s="1"/>
      <c r="D387" s="1"/>
      <c r="E387" s="16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3.2" x14ac:dyDescent="0.25">
      <c r="A388" s="1"/>
      <c r="B388" s="1"/>
      <c r="C388" s="1"/>
      <c r="D388" s="1"/>
      <c r="E388" s="16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3.2" x14ac:dyDescent="0.25">
      <c r="A389" s="1"/>
      <c r="B389" s="1"/>
      <c r="C389" s="1"/>
      <c r="D389" s="1"/>
      <c r="E389" s="16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3.2" x14ac:dyDescent="0.25">
      <c r="A390" s="1"/>
      <c r="B390" s="1"/>
      <c r="C390" s="1"/>
      <c r="D390" s="1"/>
      <c r="E390" s="16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3.2" x14ac:dyDescent="0.25">
      <c r="A391" s="1"/>
      <c r="B391" s="1"/>
      <c r="C391" s="1"/>
      <c r="D391" s="1"/>
      <c r="E391" s="16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3.2" x14ac:dyDescent="0.25">
      <c r="A392" s="1"/>
      <c r="B392" s="1"/>
      <c r="C392" s="1"/>
      <c r="D392" s="1"/>
      <c r="E392" s="16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3.2" x14ac:dyDescent="0.25">
      <c r="A393" s="1"/>
      <c r="B393" s="1"/>
      <c r="C393" s="1"/>
      <c r="D393" s="1"/>
      <c r="E393" s="16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3.2" x14ac:dyDescent="0.25">
      <c r="A394" s="1"/>
      <c r="B394" s="1"/>
      <c r="C394" s="1"/>
      <c r="D394" s="1"/>
      <c r="E394" s="16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3.2" x14ac:dyDescent="0.25">
      <c r="A395" s="1"/>
      <c r="B395" s="1"/>
      <c r="C395" s="1"/>
      <c r="D395" s="1"/>
      <c r="E395" s="16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3.2" x14ac:dyDescent="0.25">
      <c r="A396" s="1"/>
      <c r="B396" s="1"/>
      <c r="C396" s="1"/>
      <c r="D396" s="1"/>
      <c r="E396" s="16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3.2" x14ac:dyDescent="0.25">
      <c r="A397" s="1"/>
      <c r="B397" s="1"/>
      <c r="C397" s="1"/>
      <c r="D397" s="1"/>
      <c r="E397" s="16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3.2" x14ac:dyDescent="0.25">
      <c r="A398" s="1"/>
      <c r="B398" s="1"/>
      <c r="C398" s="1"/>
      <c r="D398" s="1"/>
      <c r="E398" s="16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3.2" x14ac:dyDescent="0.25">
      <c r="A399" s="1"/>
      <c r="B399" s="1"/>
      <c r="C399" s="1"/>
      <c r="D399" s="1"/>
      <c r="E399" s="16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3.2" x14ac:dyDescent="0.25">
      <c r="A400" s="1"/>
      <c r="B400" s="1"/>
      <c r="C400" s="1"/>
      <c r="D400" s="1"/>
      <c r="E400" s="16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3.2" x14ac:dyDescent="0.25">
      <c r="A401" s="1"/>
      <c r="B401" s="1"/>
      <c r="C401" s="1"/>
      <c r="D401" s="1"/>
      <c r="E401" s="16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3.2" x14ac:dyDescent="0.25">
      <c r="A402" s="1"/>
      <c r="B402" s="1"/>
      <c r="C402" s="1"/>
      <c r="D402" s="1"/>
      <c r="E402" s="16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3.2" x14ac:dyDescent="0.25">
      <c r="A403" s="1"/>
      <c r="B403" s="1"/>
      <c r="C403" s="1"/>
      <c r="D403" s="1"/>
      <c r="E403" s="16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3.2" x14ac:dyDescent="0.25">
      <c r="A404" s="1"/>
      <c r="B404" s="1"/>
      <c r="C404" s="1"/>
      <c r="D404" s="1"/>
      <c r="E404" s="16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3.2" x14ac:dyDescent="0.25">
      <c r="A405" s="1"/>
      <c r="B405" s="1"/>
      <c r="C405" s="1"/>
      <c r="D405" s="1"/>
      <c r="E405" s="16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3.2" x14ac:dyDescent="0.25">
      <c r="A406" s="1"/>
      <c r="B406" s="1"/>
      <c r="C406" s="1"/>
      <c r="D406" s="1"/>
      <c r="E406" s="16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3.2" x14ac:dyDescent="0.25">
      <c r="A407" s="1"/>
      <c r="B407" s="1"/>
      <c r="C407" s="1"/>
      <c r="D407" s="1"/>
      <c r="E407" s="16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3.2" x14ac:dyDescent="0.25">
      <c r="A408" s="1"/>
      <c r="B408" s="1"/>
      <c r="C408" s="1"/>
      <c r="D408" s="1"/>
      <c r="E408" s="16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3.2" x14ac:dyDescent="0.25">
      <c r="A409" s="1"/>
      <c r="B409" s="1"/>
      <c r="C409" s="1"/>
      <c r="D409" s="1"/>
      <c r="E409" s="16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3.2" x14ac:dyDescent="0.25">
      <c r="A410" s="1"/>
      <c r="B410" s="1"/>
      <c r="C410" s="1"/>
      <c r="D410" s="1"/>
      <c r="E410" s="16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3.2" x14ac:dyDescent="0.25">
      <c r="A411" s="1"/>
      <c r="B411" s="1"/>
      <c r="C411" s="1"/>
      <c r="D411" s="1"/>
      <c r="E411" s="16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3.2" x14ac:dyDescent="0.25">
      <c r="A412" s="1"/>
      <c r="B412" s="1"/>
      <c r="C412" s="1"/>
      <c r="D412" s="1"/>
      <c r="E412" s="16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3.2" x14ac:dyDescent="0.25">
      <c r="A413" s="1"/>
      <c r="B413" s="1"/>
      <c r="C413" s="1"/>
      <c r="D413" s="1"/>
      <c r="E413" s="16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3.2" x14ac:dyDescent="0.25">
      <c r="A414" s="1"/>
      <c r="B414" s="1"/>
      <c r="C414" s="1"/>
      <c r="D414" s="1"/>
      <c r="E414" s="16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3.2" x14ac:dyDescent="0.25">
      <c r="A415" s="1"/>
      <c r="B415" s="1"/>
      <c r="C415" s="1"/>
      <c r="D415" s="1"/>
      <c r="E415" s="16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3.2" x14ac:dyDescent="0.25">
      <c r="A416" s="1"/>
      <c r="B416" s="1"/>
      <c r="C416" s="1"/>
      <c r="D416" s="1"/>
      <c r="E416" s="16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3.2" x14ac:dyDescent="0.25">
      <c r="A417" s="1"/>
      <c r="B417" s="1"/>
      <c r="C417" s="1"/>
      <c r="D417" s="1"/>
      <c r="E417" s="16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3.2" x14ac:dyDescent="0.25">
      <c r="A418" s="1"/>
      <c r="B418" s="1"/>
      <c r="C418" s="1"/>
      <c r="D418" s="1"/>
      <c r="E418" s="16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3.2" x14ac:dyDescent="0.25">
      <c r="A419" s="1"/>
      <c r="B419" s="1"/>
      <c r="C419" s="1"/>
      <c r="D419" s="1"/>
      <c r="E419" s="16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3.2" x14ac:dyDescent="0.25">
      <c r="A420" s="1"/>
      <c r="B420" s="1"/>
      <c r="C420" s="1"/>
      <c r="D420" s="1"/>
      <c r="E420" s="16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3.2" x14ac:dyDescent="0.25">
      <c r="A421" s="1"/>
      <c r="B421" s="1"/>
      <c r="C421" s="1"/>
      <c r="D421" s="1"/>
      <c r="E421" s="16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3.2" x14ac:dyDescent="0.25">
      <c r="A422" s="1"/>
      <c r="B422" s="1"/>
      <c r="C422" s="1"/>
      <c r="D422" s="1"/>
      <c r="E422" s="16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3.2" x14ac:dyDescent="0.25">
      <c r="A423" s="1"/>
      <c r="B423" s="1"/>
      <c r="C423" s="1"/>
      <c r="D423" s="1"/>
      <c r="E423" s="16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3.2" x14ac:dyDescent="0.25">
      <c r="A424" s="1"/>
      <c r="B424" s="1"/>
      <c r="C424" s="1"/>
      <c r="D424" s="1"/>
      <c r="E424" s="16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3.2" x14ac:dyDescent="0.25">
      <c r="A425" s="1"/>
      <c r="B425" s="1"/>
      <c r="C425" s="1"/>
      <c r="D425" s="1"/>
      <c r="E425" s="16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3.2" x14ac:dyDescent="0.25">
      <c r="A426" s="1"/>
      <c r="B426" s="1"/>
      <c r="C426" s="1"/>
      <c r="D426" s="1"/>
      <c r="E426" s="16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3.2" x14ac:dyDescent="0.25">
      <c r="A427" s="1"/>
      <c r="B427" s="1"/>
      <c r="C427" s="1"/>
      <c r="D427" s="1"/>
      <c r="E427" s="16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3.2" x14ac:dyDescent="0.25">
      <c r="A428" s="1"/>
      <c r="B428" s="1"/>
      <c r="C428" s="1"/>
      <c r="D428" s="1"/>
      <c r="E428" s="16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3.2" x14ac:dyDescent="0.25">
      <c r="A429" s="1"/>
      <c r="B429" s="1"/>
      <c r="C429" s="1"/>
      <c r="D429" s="1"/>
      <c r="E429" s="16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3.2" x14ac:dyDescent="0.25">
      <c r="A430" s="1"/>
      <c r="B430" s="1"/>
      <c r="C430" s="1"/>
      <c r="D430" s="1"/>
      <c r="E430" s="16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3.2" x14ac:dyDescent="0.25">
      <c r="A431" s="1"/>
      <c r="B431" s="1"/>
      <c r="C431" s="1"/>
      <c r="D431" s="1"/>
      <c r="E431" s="16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3.2" x14ac:dyDescent="0.25">
      <c r="A432" s="1"/>
      <c r="B432" s="1"/>
      <c r="C432" s="1"/>
      <c r="D432" s="1"/>
      <c r="E432" s="16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3.2" x14ac:dyDescent="0.25">
      <c r="A433" s="1"/>
      <c r="B433" s="1"/>
      <c r="C433" s="1"/>
      <c r="D433" s="1"/>
      <c r="E433" s="16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3.2" x14ac:dyDescent="0.25">
      <c r="A434" s="1"/>
      <c r="B434" s="1"/>
      <c r="C434" s="1"/>
      <c r="D434" s="1"/>
      <c r="E434" s="16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3.2" x14ac:dyDescent="0.25">
      <c r="A435" s="1"/>
      <c r="B435" s="1"/>
      <c r="C435" s="1"/>
      <c r="D435" s="1"/>
      <c r="E435" s="16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3.2" x14ac:dyDescent="0.25">
      <c r="A436" s="1"/>
      <c r="B436" s="1"/>
      <c r="C436" s="1"/>
      <c r="D436" s="1"/>
      <c r="E436" s="16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3.2" x14ac:dyDescent="0.25">
      <c r="A437" s="1"/>
      <c r="B437" s="1"/>
      <c r="C437" s="1"/>
      <c r="D437" s="1"/>
      <c r="E437" s="16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3.2" x14ac:dyDescent="0.25">
      <c r="A438" s="1"/>
      <c r="B438" s="1"/>
      <c r="C438" s="1"/>
      <c r="D438" s="1"/>
      <c r="E438" s="16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3.2" x14ac:dyDescent="0.25">
      <c r="A439" s="1"/>
      <c r="B439" s="1"/>
      <c r="C439" s="1"/>
      <c r="D439" s="1"/>
      <c r="E439" s="16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3.2" x14ac:dyDescent="0.25">
      <c r="A440" s="1"/>
      <c r="B440" s="1"/>
      <c r="C440" s="1"/>
      <c r="D440" s="1"/>
      <c r="E440" s="16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3.2" x14ac:dyDescent="0.25">
      <c r="A441" s="1"/>
      <c r="B441" s="1"/>
      <c r="C441" s="1"/>
      <c r="D441" s="1"/>
      <c r="E441" s="16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3.2" x14ac:dyDescent="0.25">
      <c r="A442" s="1"/>
      <c r="B442" s="1"/>
      <c r="C442" s="1"/>
      <c r="D442" s="1"/>
      <c r="E442" s="16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3.2" x14ac:dyDescent="0.25">
      <c r="A443" s="1"/>
      <c r="B443" s="1"/>
      <c r="C443" s="1"/>
      <c r="D443" s="1"/>
      <c r="E443" s="16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3.2" x14ac:dyDescent="0.25">
      <c r="A444" s="1"/>
      <c r="B444" s="1"/>
      <c r="C444" s="1"/>
      <c r="D444" s="1"/>
      <c r="E444" s="16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3.2" x14ac:dyDescent="0.25">
      <c r="A445" s="1"/>
      <c r="B445" s="1"/>
      <c r="C445" s="1"/>
      <c r="D445" s="1"/>
      <c r="E445" s="16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3.2" x14ac:dyDescent="0.25">
      <c r="A446" s="1"/>
      <c r="B446" s="1"/>
      <c r="C446" s="1"/>
      <c r="D446" s="1"/>
      <c r="E446" s="16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3.2" x14ac:dyDescent="0.25">
      <c r="A447" s="1"/>
      <c r="B447" s="1"/>
      <c r="C447" s="1"/>
      <c r="D447" s="1"/>
      <c r="E447" s="16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3.2" x14ac:dyDescent="0.25">
      <c r="A448" s="1"/>
      <c r="B448" s="1"/>
      <c r="C448" s="1"/>
      <c r="D448" s="1"/>
      <c r="E448" s="16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3.2" x14ac:dyDescent="0.25">
      <c r="A449" s="1"/>
      <c r="B449" s="1"/>
      <c r="C449" s="1"/>
      <c r="D449" s="1"/>
      <c r="E449" s="16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3.2" x14ac:dyDescent="0.25">
      <c r="A450" s="1"/>
      <c r="B450" s="1"/>
      <c r="C450" s="1"/>
      <c r="D450" s="1"/>
      <c r="E450" s="16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3.2" x14ac:dyDescent="0.25">
      <c r="A451" s="1"/>
      <c r="B451" s="1"/>
      <c r="C451" s="1"/>
      <c r="D451" s="1"/>
      <c r="E451" s="16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3.2" x14ac:dyDescent="0.25">
      <c r="A452" s="1"/>
      <c r="B452" s="1"/>
      <c r="C452" s="1"/>
      <c r="D452" s="1"/>
      <c r="E452" s="16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3.2" x14ac:dyDescent="0.25">
      <c r="A453" s="1"/>
      <c r="B453" s="1"/>
      <c r="C453" s="1"/>
      <c r="D453" s="1"/>
      <c r="E453" s="16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3.2" x14ac:dyDescent="0.25">
      <c r="A454" s="1"/>
      <c r="B454" s="1"/>
      <c r="C454" s="1"/>
      <c r="D454" s="1"/>
      <c r="E454" s="16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3.2" x14ac:dyDescent="0.25">
      <c r="A455" s="1"/>
      <c r="B455" s="1"/>
      <c r="C455" s="1"/>
      <c r="D455" s="1"/>
      <c r="E455" s="16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3.2" x14ac:dyDescent="0.25">
      <c r="A456" s="1"/>
      <c r="B456" s="1"/>
      <c r="C456" s="1"/>
      <c r="D456" s="1"/>
      <c r="E456" s="16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3.2" x14ac:dyDescent="0.25">
      <c r="A457" s="1"/>
      <c r="B457" s="1"/>
      <c r="C457" s="1"/>
      <c r="D457" s="1"/>
      <c r="E457" s="16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3.2" x14ac:dyDescent="0.25">
      <c r="A458" s="1"/>
      <c r="B458" s="1"/>
      <c r="C458" s="1"/>
      <c r="D458" s="1"/>
      <c r="E458" s="16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3.2" x14ac:dyDescent="0.25">
      <c r="A459" s="1"/>
      <c r="B459" s="1"/>
      <c r="C459" s="1"/>
      <c r="D459" s="1"/>
      <c r="E459" s="16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3.2" x14ac:dyDescent="0.25">
      <c r="A460" s="1"/>
      <c r="B460" s="1"/>
      <c r="C460" s="1"/>
      <c r="D460" s="1"/>
      <c r="E460" s="16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3.2" x14ac:dyDescent="0.25">
      <c r="A461" s="1"/>
      <c r="B461" s="1"/>
      <c r="C461" s="1"/>
      <c r="D461" s="1"/>
      <c r="E461" s="16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3.2" x14ac:dyDescent="0.25">
      <c r="A462" s="1"/>
      <c r="B462" s="1"/>
      <c r="C462" s="1"/>
      <c r="D462" s="1"/>
      <c r="E462" s="16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3.2" x14ac:dyDescent="0.25">
      <c r="A463" s="1"/>
      <c r="B463" s="1"/>
      <c r="C463" s="1"/>
      <c r="D463" s="1"/>
      <c r="E463" s="16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3.2" x14ac:dyDescent="0.25">
      <c r="A464" s="1"/>
      <c r="B464" s="1"/>
      <c r="C464" s="1"/>
      <c r="D464" s="1"/>
      <c r="E464" s="16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3.2" x14ac:dyDescent="0.25">
      <c r="A465" s="1"/>
      <c r="B465" s="1"/>
      <c r="C465" s="1"/>
      <c r="D465" s="1"/>
      <c r="E465" s="16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3.2" x14ac:dyDescent="0.25">
      <c r="A466" s="1"/>
      <c r="B466" s="1"/>
      <c r="C466" s="1"/>
      <c r="D466" s="1"/>
      <c r="E466" s="16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3.2" x14ac:dyDescent="0.25">
      <c r="A467" s="1"/>
      <c r="B467" s="1"/>
      <c r="C467" s="1"/>
      <c r="D467" s="1"/>
      <c r="E467" s="16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3.2" x14ac:dyDescent="0.25">
      <c r="A468" s="1"/>
      <c r="B468" s="1"/>
      <c r="C468" s="1"/>
      <c r="D468" s="1"/>
      <c r="E468" s="16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3.2" x14ac:dyDescent="0.25">
      <c r="A469" s="1"/>
      <c r="B469" s="1"/>
      <c r="C469" s="1"/>
      <c r="D469" s="1"/>
      <c r="E469" s="16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3.2" x14ac:dyDescent="0.25">
      <c r="A470" s="1"/>
      <c r="B470" s="1"/>
      <c r="C470" s="1"/>
      <c r="D470" s="1"/>
      <c r="E470" s="16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3.2" x14ac:dyDescent="0.25">
      <c r="A471" s="1"/>
      <c r="B471" s="1"/>
      <c r="C471" s="1"/>
      <c r="D471" s="1"/>
      <c r="E471" s="16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3.2" x14ac:dyDescent="0.25">
      <c r="A472" s="1"/>
      <c r="B472" s="1"/>
      <c r="C472" s="1"/>
      <c r="D472" s="1"/>
      <c r="E472" s="16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3.2" x14ac:dyDescent="0.25">
      <c r="A473" s="1"/>
      <c r="B473" s="1"/>
      <c r="C473" s="1"/>
      <c r="D473" s="1"/>
      <c r="E473" s="16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3.2" x14ac:dyDescent="0.25">
      <c r="A474" s="1"/>
      <c r="B474" s="1"/>
      <c r="C474" s="1"/>
      <c r="D474" s="1"/>
      <c r="E474" s="16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3.2" x14ac:dyDescent="0.25">
      <c r="A475" s="1"/>
      <c r="B475" s="1"/>
      <c r="C475" s="1"/>
      <c r="D475" s="1"/>
      <c r="E475" s="16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3.2" x14ac:dyDescent="0.25">
      <c r="A476" s="1"/>
      <c r="B476" s="1"/>
      <c r="C476" s="1"/>
      <c r="D476" s="1"/>
      <c r="E476" s="16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3.2" x14ac:dyDescent="0.25">
      <c r="A477" s="1"/>
      <c r="B477" s="1"/>
      <c r="C477" s="1"/>
      <c r="D477" s="1"/>
      <c r="E477" s="16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3.2" x14ac:dyDescent="0.25">
      <c r="A478" s="1"/>
      <c r="B478" s="1"/>
      <c r="C478" s="1"/>
      <c r="D478" s="1"/>
      <c r="E478" s="16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3.2" x14ac:dyDescent="0.25">
      <c r="A479" s="1"/>
      <c r="B479" s="1"/>
      <c r="C479" s="1"/>
      <c r="D479" s="1"/>
      <c r="E479" s="16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3.2" x14ac:dyDescent="0.25">
      <c r="A480" s="1"/>
      <c r="B480" s="1"/>
      <c r="C480" s="1"/>
      <c r="D480" s="1"/>
      <c r="E480" s="16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3.2" x14ac:dyDescent="0.25">
      <c r="A481" s="1"/>
      <c r="B481" s="1"/>
      <c r="C481" s="1"/>
      <c r="D481" s="1"/>
      <c r="E481" s="16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3.2" x14ac:dyDescent="0.25">
      <c r="A482" s="1"/>
      <c r="B482" s="1"/>
      <c r="C482" s="1"/>
      <c r="D482" s="1"/>
      <c r="E482" s="16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3.2" x14ac:dyDescent="0.25">
      <c r="A483" s="1"/>
      <c r="B483" s="1"/>
      <c r="C483" s="1"/>
      <c r="D483" s="1"/>
      <c r="E483" s="16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3.2" x14ac:dyDescent="0.25">
      <c r="A484" s="1"/>
      <c r="B484" s="1"/>
      <c r="C484" s="1"/>
      <c r="D484" s="1"/>
      <c r="E484" s="16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3.2" x14ac:dyDescent="0.25">
      <c r="A485" s="1"/>
      <c r="B485" s="1"/>
      <c r="C485" s="1"/>
      <c r="D485" s="1"/>
      <c r="E485" s="16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3.2" x14ac:dyDescent="0.25">
      <c r="A486" s="1"/>
      <c r="B486" s="1"/>
      <c r="C486" s="1"/>
      <c r="D486" s="1"/>
      <c r="E486" s="16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3.2" x14ac:dyDescent="0.25">
      <c r="A487" s="1"/>
      <c r="B487" s="1"/>
      <c r="C487" s="1"/>
      <c r="D487" s="1"/>
      <c r="E487" s="16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3.2" x14ac:dyDescent="0.25">
      <c r="A488" s="1"/>
      <c r="B488" s="1"/>
      <c r="C488" s="1"/>
      <c r="D488" s="1"/>
      <c r="E488" s="16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3.2" x14ac:dyDescent="0.25">
      <c r="A489" s="1"/>
      <c r="B489" s="1"/>
      <c r="C489" s="1"/>
      <c r="D489" s="1"/>
      <c r="E489" s="16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3.2" x14ac:dyDescent="0.25">
      <c r="A490" s="1"/>
      <c r="B490" s="1"/>
      <c r="C490" s="1"/>
      <c r="D490" s="1"/>
      <c r="E490" s="16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3.2" x14ac:dyDescent="0.25">
      <c r="A491" s="1"/>
      <c r="B491" s="1"/>
      <c r="C491" s="1"/>
      <c r="D491" s="1"/>
      <c r="E491" s="16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3.2" x14ac:dyDescent="0.25">
      <c r="A492" s="1"/>
      <c r="B492" s="1"/>
      <c r="C492" s="1"/>
      <c r="D492" s="1"/>
      <c r="E492" s="16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3.2" x14ac:dyDescent="0.25">
      <c r="A493" s="1"/>
      <c r="B493" s="1"/>
      <c r="C493" s="1"/>
      <c r="D493" s="1"/>
      <c r="E493" s="16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3.2" x14ac:dyDescent="0.25">
      <c r="A494" s="1"/>
      <c r="B494" s="1"/>
      <c r="C494" s="1"/>
      <c r="D494" s="1"/>
      <c r="E494" s="16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3.2" x14ac:dyDescent="0.25">
      <c r="A495" s="1"/>
      <c r="B495" s="1"/>
      <c r="C495" s="1"/>
      <c r="D495" s="1"/>
      <c r="E495" s="16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3.2" x14ac:dyDescent="0.25">
      <c r="A496" s="1"/>
      <c r="B496" s="1"/>
      <c r="C496" s="1"/>
      <c r="D496" s="1"/>
      <c r="E496" s="16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3.2" x14ac:dyDescent="0.25">
      <c r="A497" s="1"/>
      <c r="B497" s="1"/>
      <c r="C497" s="1"/>
      <c r="D497" s="1"/>
      <c r="E497" s="16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3.2" x14ac:dyDescent="0.25">
      <c r="A498" s="1"/>
      <c r="B498" s="1"/>
      <c r="C498" s="1"/>
      <c r="D498" s="1"/>
      <c r="E498" s="16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3.2" x14ac:dyDescent="0.25">
      <c r="A499" s="1"/>
      <c r="B499" s="1"/>
      <c r="C499" s="1"/>
      <c r="D499" s="1"/>
      <c r="E499" s="16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3.2" x14ac:dyDescent="0.25">
      <c r="A500" s="1"/>
      <c r="B500" s="1"/>
      <c r="C500" s="1"/>
      <c r="D500" s="1"/>
      <c r="E500" s="16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3.2" x14ac:dyDescent="0.25">
      <c r="A501" s="1"/>
      <c r="B501" s="1"/>
      <c r="C501" s="1"/>
      <c r="D501" s="1"/>
      <c r="E501" s="16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3.2" x14ac:dyDescent="0.25">
      <c r="A502" s="1"/>
      <c r="B502" s="1"/>
      <c r="C502" s="1"/>
      <c r="D502" s="1"/>
      <c r="E502" s="16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3.2" x14ac:dyDescent="0.25">
      <c r="A503" s="1"/>
      <c r="B503" s="1"/>
      <c r="C503" s="1"/>
      <c r="D503" s="1"/>
      <c r="E503" s="16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3.2" x14ac:dyDescent="0.25">
      <c r="A504" s="1"/>
      <c r="B504" s="1"/>
      <c r="C504" s="1"/>
      <c r="D504" s="1"/>
      <c r="E504" s="16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3.2" x14ac:dyDescent="0.25">
      <c r="A505" s="1"/>
      <c r="B505" s="1"/>
      <c r="C505" s="1"/>
      <c r="D505" s="1"/>
      <c r="E505" s="16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3.2" x14ac:dyDescent="0.25">
      <c r="A506" s="1"/>
      <c r="B506" s="1"/>
      <c r="C506" s="1"/>
      <c r="D506" s="1"/>
      <c r="E506" s="16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3.2" x14ac:dyDescent="0.25">
      <c r="A507" s="1"/>
      <c r="B507" s="1"/>
      <c r="C507" s="1"/>
      <c r="D507" s="1"/>
      <c r="E507" s="16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3.2" x14ac:dyDescent="0.25">
      <c r="A508" s="1"/>
      <c r="B508" s="1"/>
      <c r="C508" s="1"/>
      <c r="D508" s="1"/>
      <c r="E508" s="16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3.2" x14ac:dyDescent="0.25">
      <c r="A509" s="1"/>
      <c r="B509" s="1"/>
      <c r="C509" s="1"/>
      <c r="D509" s="1"/>
      <c r="E509" s="16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3.2" x14ac:dyDescent="0.25">
      <c r="A510" s="1"/>
      <c r="B510" s="1"/>
      <c r="C510" s="1"/>
      <c r="D510" s="1"/>
      <c r="E510" s="16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3.2" x14ac:dyDescent="0.25">
      <c r="A511" s="1"/>
      <c r="B511" s="1"/>
      <c r="C511" s="1"/>
      <c r="D511" s="1"/>
      <c r="E511" s="16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3.2" x14ac:dyDescent="0.25">
      <c r="A512" s="1"/>
      <c r="B512" s="1"/>
      <c r="C512" s="1"/>
      <c r="D512" s="1"/>
      <c r="E512" s="16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3.2" x14ac:dyDescent="0.25">
      <c r="A513" s="1"/>
      <c r="B513" s="1"/>
      <c r="C513" s="1"/>
      <c r="D513" s="1"/>
      <c r="E513" s="16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3.2" x14ac:dyDescent="0.25">
      <c r="A514" s="1"/>
      <c r="B514" s="1"/>
      <c r="C514" s="1"/>
      <c r="D514" s="1"/>
      <c r="E514" s="16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3.2" x14ac:dyDescent="0.25">
      <c r="A515" s="1"/>
      <c r="B515" s="1"/>
      <c r="C515" s="1"/>
      <c r="D515" s="1"/>
      <c r="E515" s="16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3.2" x14ac:dyDescent="0.25">
      <c r="A516" s="1"/>
      <c r="B516" s="1"/>
      <c r="C516" s="1"/>
      <c r="D516" s="1"/>
      <c r="E516" s="16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3.2" x14ac:dyDescent="0.25">
      <c r="A517" s="1"/>
      <c r="B517" s="1"/>
      <c r="C517" s="1"/>
      <c r="D517" s="1"/>
      <c r="E517" s="16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3.2" x14ac:dyDescent="0.25">
      <c r="A518" s="1"/>
      <c r="B518" s="1"/>
      <c r="C518" s="1"/>
      <c r="D518" s="1"/>
      <c r="E518" s="16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3.2" x14ac:dyDescent="0.25">
      <c r="A519" s="1"/>
      <c r="B519" s="1"/>
      <c r="C519" s="1"/>
      <c r="D519" s="1"/>
      <c r="E519" s="16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3.2" x14ac:dyDescent="0.25">
      <c r="A520" s="1"/>
      <c r="B520" s="1"/>
      <c r="C520" s="1"/>
      <c r="D520" s="1"/>
      <c r="E520" s="16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3.2" x14ac:dyDescent="0.25">
      <c r="A521" s="1"/>
      <c r="B521" s="1"/>
      <c r="C521" s="1"/>
      <c r="D521" s="1"/>
      <c r="E521" s="16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3.2" x14ac:dyDescent="0.25">
      <c r="A522" s="1"/>
      <c r="B522" s="1"/>
      <c r="C522" s="1"/>
      <c r="D522" s="1"/>
      <c r="E522" s="16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3.2" x14ac:dyDescent="0.25">
      <c r="A523" s="1"/>
      <c r="B523" s="1"/>
      <c r="C523" s="1"/>
      <c r="D523" s="1"/>
      <c r="E523" s="16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3.2" x14ac:dyDescent="0.25">
      <c r="A524" s="1"/>
      <c r="B524" s="1"/>
      <c r="C524" s="1"/>
      <c r="D524" s="1"/>
      <c r="E524" s="16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3.2" x14ac:dyDescent="0.25">
      <c r="A525" s="1"/>
      <c r="B525" s="1"/>
      <c r="C525" s="1"/>
      <c r="D525" s="1"/>
      <c r="E525" s="16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3.2" x14ac:dyDescent="0.25">
      <c r="A526" s="1"/>
      <c r="B526" s="1"/>
      <c r="C526" s="1"/>
      <c r="D526" s="1"/>
      <c r="E526" s="16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3.2" x14ac:dyDescent="0.25">
      <c r="A527" s="1"/>
      <c r="B527" s="1"/>
      <c r="C527" s="1"/>
      <c r="D527" s="1"/>
      <c r="E527" s="16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3.2" x14ac:dyDescent="0.25">
      <c r="A528" s="1"/>
      <c r="B528" s="1"/>
      <c r="C528" s="1"/>
      <c r="D528" s="1"/>
      <c r="E528" s="16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3.2" x14ac:dyDescent="0.25">
      <c r="A529" s="1"/>
      <c r="B529" s="1"/>
      <c r="C529" s="1"/>
      <c r="D529" s="1"/>
      <c r="E529" s="16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3.2" x14ac:dyDescent="0.25">
      <c r="A530" s="1"/>
      <c r="B530" s="1"/>
      <c r="C530" s="1"/>
      <c r="D530" s="1"/>
      <c r="E530" s="16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3.2" x14ac:dyDescent="0.25">
      <c r="A531" s="1"/>
      <c r="B531" s="1"/>
      <c r="C531" s="1"/>
      <c r="D531" s="1"/>
      <c r="E531" s="16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3.2" x14ac:dyDescent="0.25">
      <c r="A532" s="1"/>
      <c r="B532" s="1"/>
      <c r="C532" s="1"/>
      <c r="D532" s="1"/>
      <c r="E532" s="16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3.2" x14ac:dyDescent="0.25">
      <c r="A533" s="1"/>
      <c r="B533" s="1"/>
      <c r="C533" s="1"/>
      <c r="D533" s="1"/>
      <c r="E533" s="16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3.2" x14ac:dyDescent="0.25">
      <c r="A534" s="1"/>
      <c r="B534" s="1"/>
      <c r="C534" s="1"/>
      <c r="D534" s="1"/>
      <c r="E534" s="16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3.2" x14ac:dyDescent="0.25">
      <c r="A535" s="1"/>
      <c r="B535" s="1"/>
      <c r="C535" s="1"/>
      <c r="D535" s="1"/>
      <c r="E535" s="16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3.2" x14ac:dyDescent="0.25">
      <c r="A536" s="1"/>
      <c r="B536" s="1"/>
      <c r="C536" s="1"/>
      <c r="D536" s="1"/>
      <c r="E536" s="16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3.2" x14ac:dyDescent="0.25">
      <c r="A537" s="1"/>
      <c r="B537" s="1"/>
      <c r="C537" s="1"/>
      <c r="D537" s="1"/>
      <c r="E537" s="16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3.2" x14ac:dyDescent="0.25">
      <c r="A538" s="1"/>
      <c r="B538" s="1"/>
      <c r="C538" s="1"/>
      <c r="D538" s="1"/>
      <c r="E538" s="16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3.2" x14ac:dyDescent="0.25">
      <c r="A539" s="1"/>
      <c r="B539" s="1"/>
      <c r="C539" s="1"/>
      <c r="D539" s="1"/>
      <c r="E539" s="16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3.2" x14ac:dyDescent="0.25">
      <c r="A540" s="1"/>
      <c r="B540" s="1"/>
      <c r="C540" s="1"/>
      <c r="D540" s="1"/>
      <c r="E540" s="16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3.2" x14ac:dyDescent="0.25">
      <c r="A541" s="1"/>
      <c r="B541" s="1"/>
      <c r="C541" s="1"/>
      <c r="D541" s="1"/>
      <c r="E541" s="16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3.2" x14ac:dyDescent="0.25">
      <c r="A542" s="1"/>
      <c r="B542" s="1"/>
      <c r="C542" s="1"/>
      <c r="D542" s="1"/>
      <c r="E542" s="16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3.2" x14ac:dyDescent="0.25">
      <c r="A543" s="1"/>
      <c r="B543" s="1"/>
      <c r="C543" s="1"/>
      <c r="D543" s="1"/>
      <c r="E543" s="16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3.2" x14ac:dyDescent="0.25">
      <c r="A544" s="1"/>
      <c r="B544" s="1"/>
      <c r="C544" s="1"/>
      <c r="D544" s="1"/>
      <c r="E544" s="16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3.2" x14ac:dyDescent="0.25">
      <c r="A545" s="1"/>
      <c r="B545" s="1"/>
      <c r="C545" s="1"/>
      <c r="D545" s="1"/>
      <c r="E545" s="16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3.2" x14ac:dyDescent="0.25">
      <c r="A546" s="1"/>
      <c r="B546" s="1"/>
      <c r="C546" s="1"/>
      <c r="D546" s="1"/>
      <c r="E546" s="16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3.2" x14ac:dyDescent="0.25">
      <c r="A547" s="1"/>
      <c r="B547" s="1"/>
      <c r="C547" s="1"/>
      <c r="D547" s="1"/>
      <c r="E547" s="16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3.2" x14ac:dyDescent="0.25">
      <c r="A548" s="1"/>
      <c r="B548" s="1"/>
      <c r="C548" s="1"/>
      <c r="D548" s="1"/>
      <c r="E548" s="16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3.2" x14ac:dyDescent="0.25">
      <c r="A549" s="1"/>
      <c r="B549" s="1"/>
      <c r="C549" s="1"/>
      <c r="D549" s="1"/>
      <c r="E549" s="16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3.2" x14ac:dyDescent="0.25">
      <c r="A550" s="1"/>
      <c r="B550" s="1"/>
      <c r="C550" s="1"/>
      <c r="D550" s="1"/>
      <c r="E550" s="16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3.2" x14ac:dyDescent="0.25">
      <c r="A551" s="1"/>
      <c r="B551" s="1"/>
      <c r="C551" s="1"/>
      <c r="D551" s="1"/>
      <c r="E551" s="16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3.2" x14ac:dyDescent="0.25">
      <c r="A552" s="1"/>
      <c r="B552" s="1"/>
      <c r="C552" s="1"/>
      <c r="D552" s="1"/>
      <c r="E552" s="16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3.2" x14ac:dyDescent="0.25">
      <c r="A553" s="1"/>
      <c r="B553" s="1"/>
      <c r="C553" s="1"/>
      <c r="D553" s="1"/>
      <c r="E553" s="16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3.2" x14ac:dyDescent="0.25">
      <c r="A554" s="1"/>
      <c r="B554" s="1"/>
      <c r="C554" s="1"/>
      <c r="D554" s="1"/>
      <c r="E554" s="16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3.2" x14ac:dyDescent="0.25">
      <c r="A555" s="1"/>
      <c r="B555" s="1"/>
      <c r="C555" s="1"/>
      <c r="D555" s="1"/>
      <c r="E555" s="16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3.2" x14ac:dyDescent="0.25">
      <c r="A556" s="1"/>
      <c r="B556" s="1"/>
      <c r="C556" s="1"/>
      <c r="D556" s="1"/>
      <c r="E556" s="16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3.2" x14ac:dyDescent="0.25">
      <c r="A557" s="1"/>
      <c r="B557" s="1"/>
      <c r="C557" s="1"/>
      <c r="D557" s="1"/>
      <c r="E557" s="16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3.2" x14ac:dyDescent="0.25">
      <c r="A558" s="1"/>
      <c r="B558" s="1"/>
      <c r="C558" s="1"/>
      <c r="D558" s="1"/>
      <c r="E558" s="16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3.2" x14ac:dyDescent="0.25">
      <c r="A559" s="1"/>
      <c r="B559" s="1"/>
      <c r="C559" s="1"/>
      <c r="D559" s="1"/>
      <c r="E559" s="16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3.2" x14ac:dyDescent="0.25">
      <c r="A560" s="1"/>
      <c r="B560" s="1"/>
      <c r="C560" s="1"/>
      <c r="D560" s="1"/>
      <c r="E560" s="16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3.2" x14ac:dyDescent="0.25">
      <c r="A561" s="1"/>
      <c r="B561" s="1"/>
      <c r="C561" s="1"/>
      <c r="D561" s="1"/>
      <c r="E561" s="16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3.2" x14ac:dyDescent="0.25">
      <c r="A562" s="1"/>
      <c r="B562" s="1"/>
      <c r="C562" s="1"/>
      <c r="D562" s="1"/>
      <c r="E562" s="16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3.2" x14ac:dyDescent="0.25">
      <c r="A563" s="1"/>
      <c r="B563" s="1"/>
      <c r="C563" s="1"/>
      <c r="D563" s="1"/>
      <c r="E563" s="16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3.2" x14ac:dyDescent="0.25">
      <c r="A564" s="1"/>
      <c r="B564" s="1"/>
      <c r="C564" s="1"/>
      <c r="D564" s="1"/>
      <c r="E564" s="16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3.2" x14ac:dyDescent="0.25">
      <c r="A565" s="1"/>
      <c r="B565" s="1"/>
      <c r="C565" s="1"/>
      <c r="D565" s="1"/>
      <c r="E565" s="16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3.2" x14ac:dyDescent="0.25">
      <c r="A566" s="1"/>
      <c r="B566" s="1"/>
      <c r="C566" s="1"/>
      <c r="D566" s="1"/>
      <c r="E566" s="16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3.2" x14ac:dyDescent="0.25">
      <c r="A567" s="1"/>
      <c r="B567" s="1"/>
      <c r="C567" s="1"/>
      <c r="D567" s="1"/>
      <c r="E567" s="16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3.2" x14ac:dyDescent="0.25">
      <c r="A568" s="1"/>
      <c r="B568" s="1"/>
      <c r="C568" s="1"/>
      <c r="D568" s="1"/>
      <c r="E568" s="16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3.2" x14ac:dyDescent="0.25">
      <c r="A569" s="1"/>
      <c r="B569" s="1"/>
      <c r="C569" s="1"/>
      <c r="D569" s="1"/>
      <c r="E569" s="16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3.2" x14ac:dyDescent="0.25">
      <c r="A570" s="1"/>
      <c r="B570" s="1"/>
      <c r="C570" s="1"/>
      <c r="D570" s="1"/>
      <c r="E570" s="16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3.2" x14ac:dyDescent="0.25">
      <c r="A571" s="1"/>
      <c r="B571" s="1"/>
      <c r="C571" s="1"/>
      <c r="D571" s="1"/>
      <c r="E571" s="16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3.2" x14ac:dyDescent="0.25">
      <c r="A572" s="1"/>
      <c r="B572" s="1"/>
      <c r="C572" s="1"/>
      <c r="D572" s="1"/>
      <c r="E572" s="16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3.2" x14ac:dyDescent="0.25">
      <c r="A573" s="1"/>
      <c r="B573" s="1"/>
      <c r="C573" s="1"/>
      <c r="D573" s="1"/>
      <c r="E573" s="16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3.2" x14ac:dyDescent="0.25">
      <c r="A574" s="1"/>
      <c r="B574" s="1"/>
      <c r="C574" s="1"/>
      <c r="D574" s="1"/>
      <c r="E574" s="16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3.2" x14ac:dyDescent="0.25">
      <c r="A575" s="1"/>
      <c r="B575" s="1"/>
      <c r="C575" s="1"/>
      <c r="D575" s="1"/>
      <c r="E575" s="16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3.2" x14ac:dyDescent="0.25">
      <c r="A576" s="1"/>
      <c r="B576" s="1"/>
      <c r="C576" s="1"/>
      <c r="D576" s="1"/>
      <c r="E576" s="16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3.2" x14ac:dyDescent="0.25">
      <c r="A577" s="1"/>
      <c r="B577" s="1"/>
      <c r="C577" s="1"/>
      <c r="D577" s="1"/>
      <c r="E577" s="16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3.2" x14ac:dyDescent="0.25">
      <c r="A578" s="1"/>
      <c r="B578" s="1"/>
      <c r="C578" s="1"/>
      <c r="D578" s="1"/>
      <c r="E578" s="16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3.2" x14ac:dyDescent="0.25">
      <c r="A579" s="1"/>
      <c r="B579" s="1"/>
      <c r="C579" s="1"/>
      <c r="D579" s="1"/>
      <c r="E579" s="16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3.2" x14ac:dyDescent="0.25">
      <c r="A580" s="1"/>
      <c r="B580" s="1"/>
      <c r="C580" s="1"/>
      <c r="D580" s="1"/>
      <c r="E580" s="16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3.2" x14ac:dyDescent="0.25">
      <c r="A581" s="1"/>
      <c r="B581" s="1"/>
      <c r="C581" s="1"/>
      <c r="D581" s="1"/>
      <c r="E581" s="16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3.2" x14ac:dyDescent="0.25">
      <c r="A582" s="1"/>
      <c r="B582" s="1"/>
      <c r="C582" s="1"/>
      <c r="D582" s="1"/>
      <c r="E582" s="16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3.2" x14ac:dyDescent="0.25">
      <c r="A583" s="1"/>
      <c r="B583" s="1"/>
      <c r="C583" s="1"/>
      <c r="D583" s="1"/>
      <c r="E583" s="16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3.2" x14ac:dyDescent="0.25">
      <c r="A584" s="1"/>
      <c r="B584" s="1"/>
      <c r="C584" s="1"/>
      <c r="D584" s="1"/>
      <c r="E584" s="16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3.2" x14ac:dyDescent="0.25">
      <c r="A585" s="1"/>
      <c r="B585" s="1"/>
      <c r="C585" s="1"/>
      <c r="D585" s="1"/>
      <c r="E585" s="16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3.2" x14ac:dyDescent="0.25">
      <c r="A586" s="1"/>
      <c r="B586" s="1"/>
      <c r="C586" s="1"/>
      <c r="D586" s="1"/>
      <c r="E586" s="16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3.2" x14ac:dyDescent="0.25">
      <c r="A587" s="1"/>
      <c r="B587" s="1"/>
      <c r="C587" s="1"/>
      <c r="D587" s="1"/>
      <c r="E587" s="16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3.2" x14ac:dyDescent="0.25">
      <c r="A588" s="1"/>
      <c r="B588" s="1"/>
      <c r="C588" s="1"/>
      <c r="D588" s="1"/>
      <c r="E588" s="16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3.2" x14ac:dyDescent="0.25">
      <c r="A589" s="1"/>
      <c r="B589" s="1"/>
      <c r="C589" s="1"/>
      <c r="D589" s="1"/>
      <c r="E589" s="16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3.2" x14ac:dyDescent="0.25">
      <c r="A590" s="1"/>
      <c r="B590" s="1"/>
      <c r="C590" s="1"/>
      <c r="D590" s="1"/>
      <c r="E590" s="16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3.2" x14ac:dyDescent="0.25">
      <c r="A591" s="1"/>
      <c r="B591" s="1"/>
      <c r="C591" s="1"/>
      <c r="D591" s="1"/>
      <c r="E591" s="16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3.2" x14ac:dyDescent="0.25">
      <c r="A592" s="1"/>
      <c r="B592" s="1"/>
      <c r="C592" s="1"/>
      <c r="D592" s="1"/>
      <c r="E592" s="16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3.2" x14ac:dyDescent="0.25">
      <c r="A593" s="1"/>
      <c r="B593" s="1"/>
      <c r="C593" s="1"/>
      <c r="D593" s="1"/>
      <c r="E593" s="16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3.2" x14ac:dyDescent="0.25">
      <c r="A594" s="1"/>
      <c r="B594" s="1"/>
      <c r="C594" s="1"/>
      <c r="D594" s="1"/>
      <c r="E594" s="16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3.2" x14ac:dyDescent="0.25">
      <c r="A595" s="1"/>
      <c r="B595" s="1"/>
      <c r="C595" s="1"/>
      <c r="D595" s="1"/>
      <c r="E595" s="16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3.2" x14ac:dyDescent="0.25">
      <c r="A596" s="1"/>
      <c r="B596" s="1"/>
      <c r="C596" s="1"/>
      <c r="D596" s="1"/>
      <c r="E596" s="16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3.2" x14ac:dyDescent="0.25">
      <c r="A597" s="1"/>
      <c r="B597" s="1"/>
      <c r="C597" s="1"/>
      <c r="D597" s="1"/>
      <c r="E597" s="16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3.2" x14ac:dyDescent="0.25">
      <c r="A598" s="1"/>
      <c r="B598" s="1"/>
      <c r="C598" s="1"/>
      <c r="D598" s="1"/>
      <c r="E598" s="16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3.2" x14ac:dyDescent="0.25">
      <c r="A599" s="1"/>
      <c r="B599" s="1"/>
      <c r="C599" s="1"/>
      <c r="D599" s="1"/>
      <c r="E599" s="16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3.2" x14ac:dyDescent="0.25">
      <c r="A600" s="1"/>
      <c r="B600" s="1"/>
      <c r="C600" s="1"/>
      <c r="D600" s="1"/>
      <c r="E600" s="16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3.2" x14ac:dyDescent="0.25">
      <c r="A601" s="1"/>
      <c r="B601" s="1"/>
      <c r="C601" s="1"/>
      <c r="D601" s="1"/>
      <c r="E601" s="16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3.2" x14ac:dyDescent="0.25">
      <c r="A602" s="1"/>
      <c r="B602" s="1"/>
      <c r="C602" s="1"/>
      <c r="D602" s="1"/>
      <c r="E602" s="16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3.2" x14ac:dyDescent="0.25">
      <c r="A603" s="1"/>
      <c r="B603" s="1"/>
      <c r="C603" s="1"/>
      <c r="D603" s="1"/>
      <c r="E603" s="16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3.2" x14ac:dyDescent="0.25">
      <c r="A604" s="1"/>
      <c r="B604" s="1"/>
      <c r="C604" s="1"/>
      <c r="D604" s="1"/>
      <c r="E604" s="16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3.2" x14ac:dyDescent="0.25">
      <c r="A605" s="1"/>
      <c r="B605" s="1"/>
      <c r="C605" s="1"/>
      <c r="D605" s="1"/>
      <c r="E605" s="16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3.2" x14ac:dyDescent="0.25">
      <c r="A606" s="1"/>
      <c r="B606" s="1"/>
      <c r="C606" s="1"/>
      <c r="D606" s="1"/>
      <c r="E606" s="16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3.2" x14ac:dyDescent="0.25">
      <c r="A607" s="1"/>
      <c r="B607" s="1"/>
      <c r="C607" s="1"/>
      <c r="D607" s="1"/>
      <c r="E607" s="16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3.2" x14ac:dyDescent="0.25">
      <c r="A608" s="1"/>
      <c r="B608" s="1"/>
      <c r="C608" s="1"/>
      <c r="D608" s="1"/>
      <c r="E608" s="16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3.2" x14ac:dyDescent="0.25">
      <c r="A609" s="1"/>
      <c r="B609" s="1"/>
      <c r="C609" s="1"/>
      <c r="D609" s="1"/>
      <c r="E609" s="16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3.2" x14ac:dyDescent="0.25">
      <c r="A610" s="1"/>
      <c r="B610" s="1"/>
      <c r="C610" s="1"/>
      <c r="D610" s="1"/>
      <c r="E610" s="16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3.2" x14ac:dyDescent="0.25">
      <c r="A611" s="1"/>
      <c r="B611" s="1"/>
      <c r="C611" s="1"/>
      <c r="D611" s="1"/>
      <c r="E611" s="16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3.2" x14ac:dyDescent="0.25">
      <c r="A612" s="1"/>
      <c r="B612" s="1"/>
      <c r="C612" s="1"/>
      <c r="D612" s="1"/>
      <c r="E612" s="16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3.2" x14ac:dyDescent="0.25">
      <c r="A613" s="1"/>
      <c r="B613" s="1"/>
      <c r="C613" s="1"/>
      <c r="D613" s="1"/>
      <c r="E613" s="16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3.2" x14ac:dyDescent="0.25">
      <c r="A614" s="1"/>
      <c r="B614" s="1"/>
      <c r="C614" s="1"/>
      <c r="D614" s="1"/>
      <c r="E614" s="16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3.2" x14ac:dyDescent="0.25">
      <c r="A615" s="1"/>
      <c r="B615" s="1"/>
      <c r="C615" s="1"/>
      <c r="D615" s="1"/>
      <c r="E615" s="16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3.2" x14ac:dyDescent="0.25">
      <c r="A616" s="1"/>
      <c r="B616" s="1"/>
      <c r="C616" s="1"/>
      <c r="D616" s="1"/>
      <c r="E616" s="16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3.2" x14ac:dyDescent="0.25">
      <c r="A617" s="1"/>
      <c r="B617" s="1"/>
      <c r="C617" s="1"/>
      <c r="D617" s="1"/>
      <c r="E617" s="16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3.2" x14ac:dyDescent="0.25">
      <c r="A618" s="1"/>
      <c r="B618" s="1"/>
      <c r="C618" s="1"/>
      <c r="D618" s="1"/>
      <c r="E618" s="16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3.2" x14ac:dyDescent="0.25">
      <c r="A619" s="1"/>
      <c r="B619" s="1"/>
      <c r="C619" s="1"/>
      <c r="D619" s="1"/>
      <c r="E619" s="16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3.2" x14ac:dyDescent="0.25">
      <c r="A620" s="1"/>
      <c r="B620" s="1"/>
      <c r="C620" s="1"/>
      <c r="D620" s="1"/>
      <c r="E620" s="16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3.2" x14ac:dyDescent="0.25">
      <c r="A621" s="1"/>
      <c r="B621" s="1"/>
      <c r="C621" s="1"/>
      <c r="D621" s="1"/>
      <c r="E621" s="16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3.2" x14ac:dyDescent="0.25">
      <c r="A622" s="1"/>
      <c r="B622" s="1"/>
      <c r="C622" s="1"/>
      <c r="D622" s="1"/>
      <c r="E622" s="16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3.2" x14ac:dyDescent="0.25">
      <c r="A623" s="1"/>
      <c r="B623" s="1"/>
      <c r="C623" s="1"/>
      <c r="D623" s="1"/>
      <c r="E623" s="16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3.2" x14ac:dyDescent="0.25">
      <c r="A624" s="1"/>
      <c r="B624" s="1"/>
      <c r="C624" s="1"/>
      <c r="D624" s="1"/>
      <c r="E624" s="16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3.2" x14ac:dyDescent="0.25">
      <c r="A625" s="1"/>
      <c r="B625" s="1"/>
      <c r="C625" s="1"/>
      <c r="D625" s="1"/>
      <c r="E625" s="16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3.2" x14ac:dyDescent="0.25">
      <c r="A626" s="1"/>
      <c r="B626" s="1"/>
      <c r="C626" s="1"/>
      <c r="D626" s="1"/>
      <c r="E626" s="16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3.2" x14ac:dyDescent="0.25">
      <c r="A627" s="1"/>
      <c r="B627" s="1"/>
      <c r="C627" s="1"/>
      <c r="D627" s="1"/>
      <c r="E627" s="16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3.2" x14ac:dyDescent="0.25">
      <c r="A628" s="1"/>
      <c r="B628" s="1"/>
      <c r="C628" s="1"/>
      <c r="D628" s="1"/>
      <c r="E628" s="16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3.2" x14ac:dyDescent="0.25">
      <c r="A629" s="1"/>
      <c r="B629" s="1"/>
      <c r="C629" s="1"/>
      <c r="D629" s="1"/>
      <c r="E629" s="16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3.2" x14ac:dyDescent="0.25">
      <c r="A630" s="1"/>
      <c r="B630" s="1"/>
      <c r="C630" s="1"/>
      <c r="D630" s="1"/>
      <c r="E630" s="16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3.2" x14ac:dyDescent="0.25">
      <c r="A631" s="1"/>
      <c r="B631" s="1"/>
      <c r="C631" s="1"/>
      <c r="D631" s="1"/>
      <c r="E631" s="16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3.2" x14ac:dyDescent="0.25">
      <c r="A632" s="1"/>
      <c r="B632" s="1"/>
      <c r="C632" s="1"/>
      <c r="D632" s="1"/>
      <c r="E632" s="16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3.2" x14ac:dyDescent="0.25">
      <c r="A633" s="1"/>
      <c r="B633" s="1"/>
      <c r="C633" s="1"/>
      <c r="D633" s="1"/>
      <c r="E633" s="16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3.2" x14ac:dyDescent="0.25">
      <c r="A634" s="1"/>
      <c r="B634" s="1"/>
      <c r="C634" s="1"/>
      <c r="D634" s="1"/>
      <c r="E634" s="16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3.2" x14ac:dyDescent="0.25">
      <c r="A635" s="1"/>
      <c r="B635" s="1"/>
      <c r="C635" s="1"/>
      <c r="D635" s="1"/>
      <c r="E635" s="16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3.2" x14ac:dyDescent="0.25">
      <c r="A636" s="1"/>
      <c r="B636" s="1"/>
      <c r="C636" s="1"/>
      <c r="D636" s="1"/>
      <c r="E636" s="16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3.2" x14ac:dyDescent="0.25">
      <c r="A637" s="1"/>
      <c r="B637" s="1"/>
      <c r="C637" s="1"/>
      <c r="D637" s="1"/>
      <c r="E637" s="16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3.2" x14ac:dyDescent="0.25">
      <c r="A638" s="1"/>
      <c r="B638" s="1"/>
      <c r="C638" s="1"/>
      <c r="D638" s="1"/>
      <c r="E638" s="16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3.2" x14ac:dyDescent="0.25">
      <c r="A639" s="1"/>
      <c r="B639" s="1"/>
      <c r="C639" s="1"/>
      <c r="D639" s="1"/>
      <c r="E639" s="16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3.2" x14ac:dyDescent="0.25">
      <c r="A640" s="1"/>
      <c r="B640" s="1"/>
      <c r="C640" s="1"/>
      <c r="D640" s="1"/>
      <c r="E640" s="16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3.2" x14ac:dyDescent="0.25">
      <c r="A641" s="1"/>
      <c r="B641" s="1"/>
      <c r="C641" s="1"/>
      <c r="D641" s="1"/>
      <c r="E641" s="16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3.2" x14ac:dyDescent="0.25">
      <c r="A642" s="1"/>
      <c r="B642" s="1"/>
      <c r="C642" s="1"/>
      <c r="D642" s="1"/>
      <c r="E642" s="16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3.2" x14ac:dyDescent="0.25">
      <c r="A643" s="1"/>
      <c r="B643" s="1"/>
      <c r="C643" s="1"/>
      <c r="D643" s="1"/>
      <c r="E643" s="16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3.2" x14ac:dyDescent="0.25">
      <c r="A644" s="1"/>
      <c r="B644" s="1"/>
      <c r="C644" s="1"/>
      <c r="D644" s="1"/>
      <c r="E644" s="16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3.2" x14ac:dyDescent="0.25">
      <c r="A645" s="1"/>
      <c r="B645" s="1"/>
      <c r="C645" s="1"/>
      <c r="D645" s="1"/>
      <c r="E645" s="16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3.2" x14ac:dyDescent="0.25">
      <c r="A646" s="1"/>
      <c r="B646" s="1"/>
      <c r="C646" s="1"/>
      <c r="D646" s="1"/>
      <c r="E646" s="16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3.2" x14ac:dyDescent="0.25">
      <c r="A647" s="1"/>
      <c r="B647" s="1"/>
      <c r="C647" s="1"/>
      <c r="D647" s="1"/>
      <c r="E647" s="16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3.2" x14ac:dyDescent="0.25">
      <c r="A648" s="1"/>
      <c r="B648" s="1"/>
      <c r="C648" s="1"/>
      <c r="D648" s="1"/>
      <c r="E648" s="16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3.2" x14ac:dyDescent="0.25">
      <c r="A649" s="1"/>
      <c r="B649" s="1"/>
      <c r="C649" s="1"/>
      <c r="D649" s="1"/>
      <c r="E649" s="16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3.2" x14ac:dyDescent="0.25">
      <c r="A650" s="1"/>
      <c r="B650" s="1"/>
      <c r="C650" s="1"/>
      <c r="D650" s="1"/>
      <c r="E650" s="16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3.2" x14ac:dyDescent="0.25">
      <c r="A651" s="1"/>
      <c r="B651" s="1"/>
      <c r="C651" s="1"/>
      <c r="D651" s="1"/>
      <c r="E651" s="16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3.2" x14ac:dyDescent="0.25">
      <c r="A652" s="1"/>
      <c r="B652" s="1"/>
      <c r="C652" s="1"/>
      <c r="D652" s="1"/>
      <c r="E652" s="16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3.2" x14ac:dyDescent="0.25">
      <c r="A653" s="1"/>
      <c r="B653" s="1"/>
      <c r="C653" s="1"/>
      <c r="D653" s="1"/>
      <c r="E653" s="16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3.2" x14ac:dyDescent="0.25">
      <c r="A654" s="1"/>
      <c r="B654" s="1"/>
      <c r="C654" s="1"/>
      <c r="D654" s="1"/>
      <c r="E654" s="16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3.2" x14ac:dyDescent="0.25">
      <c r="A655" s="1"/>
      <c r="B655" s="1"/>
      <c r="C655" s="1"/>
      <c r="D655" s="1"/>
      <c r="E655" s="16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3.2" x14ac:dyDescent="0.25">
      <c r="A656" s="1"/>
      <c r="B656" s="1"/>
      <c r="C656" s="1"/>
      <c r="D656" s="1"/>
      <c r="E656" s="16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3.2" x14ac:dyDescent="0.25">
      <c r="A657" s="1"/>
      <c r="B657" s="1"/>
      <c r="C657" s="1"/>
      <c r="D657" s="1"/>
      <c r="E657" s="16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3.2" x14ac:dyDescent="0.25">
      <c r="A658" s="1"/>
      <c r="B658" s="1"/>
      <c r="C658" s="1"/>
      <c r="D658" s="1"/>
      <c r="E658" s="16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3.2" x14ac:dyDescent="0.25">
      <c r="A659" s="1"/>
      <c r="B659" s="1"/>
      <c r="C659" s="1"/>
      <c r="D659" s="1"/>
      <c r="E659" s="16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3.2" x14ac:dyDescent="0.25">
      <c r="A660" s="1"/>
      <c r="B660" s="1"/>
      <c r="C660" s="1"/>
      <c r="D660" s="1"/>
      <c r="E660" s="16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3.2" x14ac:dyDescent="0.25">
      <c r="A661" s="1"/>
      <c r="B661" s="1"/>
      <c r="C661" s="1"/>
      <c r="D661" s="1"/>
      <c r="E661" s="16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3.2" x14ac:dyDescent="0.25">
      <c r="A662" s="1"/>
      <c r="B662" s="1"/>
      <c r="C662" s="1"/>
      <c r="D662" s="1"/>
      <c r="E662" s="16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3.2" x14ac:dyDescent="0.25">
      <c r="A663" s="1"/>
      <c r="B663" s="1"/>
      <c r="C663" s="1"/>
      <c r="D663" s="1"/>
      <c r="E663" s="16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3.2" x14ac:dyDescent="0.25">
      <c r="A664" s="1"/>
      <c r="B664" s="1"/>
      <c r="C664" s="1"/>
      <c r="D664" s="1"/>
      <c r="E664" s="16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3.2" x14ac:dyDescent="0.25">
      <c r="A665" s="1"/>
      <c r="B665" s="1"/>
      <c r="C665" s="1"/>
      <c r="D665" s="1"/>
      <c r="E665" s="16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3.2" x14ac:dyDescent="0.25">
      <c r="A666" s="1"/>
      <c r="B666" s="1"/>
      <c r="C666" s="1"/>
      <c r="D666" s="1"/>
      <c r="E666" s="16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3.2" x14ac:dyDescent="0.25">
      <c r="A667" s="1"/>
      <c r="B667" s="1"/>
      <c r="C667" s="1"/>
      <c r="D667" s="1"/>
      <c r="E667" s="16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3.2" x14ac:dyDescent="0.25">
      <c r="A668" s="1"/>
      <c r="B668" s="1"/>
      <c r="C668" s="1"/>
      <c r="D668" s="1"/>
      <c r="E668" s="16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3.2" x14ac:dyDescent="0.25">
      <c r="A669" s="1"/>
      <c r="B669" s="1"/>
      <c r="C669" s="1"/>
      <c r="D669" s="1"/>
      <c r="E669" s="16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3.2" x14ac:dyDescent="0.25">
      <c r="A670" s="1"/>
      <c r="B670" s="1"/>
      <c r="C670" s="1"/>
      <c r="D670" s="1"/>
      <c r="E670" s="16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3.2" x14ac:dyDescent="0.25">
      <c r="A671" s="1"/>
      <c r="B671" s="1"/>
      <c r="C671" s="1"/>
      <c r="D671" s="1"/>
      <c r="E671" s="16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3.2" x14ac:dyDescent="0.25">
      <c r="A672" s="1"/>
      <c r="B672" s="1"/>
      <c r="C672" s="1"/>
      <c r="D672" s="1"/>
      <c r="E672" s="16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3.2" x14ac:dyDescent="0.25">
      <c r="A673" s="1"/>
      <c r="B673" s="1"/>
      <c r="C673" s="1"/>
      <c r="D673" s="1"/>
      <c r="E673" s="16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3.2" x14ac:dyDescent="0.25">
      <c r="A674" s="1"/>
      <c r="B674" s="1"/>
      <c r="C674" s="1"/>
      <c r="D674" s="1"/>
      <c r="E674" s="16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3.2" x14ac:dyDescent="0.25">
      <c r="A675" s="1"/>
      <c r="B675" s="1"/>
      <c r="C675" s="1"/>
      <c r="D675" s="1"/>
      <c r="E675" s="16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3.2" x14ac:dyDescent="0.25">
      <c r="A676" s="1"/>
      <c r="B676" s="1"/>
      <c r="C676" s="1"/>
      <c r="D676" s="1"/>
      <c r="E676" s="16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3.2" x14ac:dyDescent="0.25">
      <c r="A677" s="1"/>
      <c r="B677" s="1"/>
      <c r="C677" s="1"/>
      <c r="D677" s="1"/>
      <c r="E677" s="16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3.2" x14ac:dyDescent="0.25">
      <c r="A678" s="1"/>
      <c r="B678" s="1"/>
      <c r="C678" s="1"/>
      <c r="D678" s="1"/>
      <c r="E678" s="16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3.2" x14ac:dyDescent="0.25">
      <c r="A679" s="1"/>
      <c r="B679" s="1"/>
      <c r="C679" s="1"/>
      <c r="D679" s="1"/>
      <c r="E679" s="16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3.2" x14ac:dyDescent="0.25">
      <c r="A680" s="1"/>
      <c r="B680" s="1"/>
      <c r="C680" s="1"/>
      <c r="D680" s="1"/>
      <c r="E680" s="16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3.2" x14ac:dyDescent="0.25">
      <c r="A681" s="1"/>
      <c r="B681" s="1"/>
      <c r="C681" s="1"/>
      <c r="D681" s="1"/>
      <c r="E681" s="16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3.2" x14ac:dyDescent="0.25">
      <c r="A682" s="1"/>
      <c r="B682" s="1"/>
      <c r="C682" s="1"/>
      <c r="D682" s="1"/>
      <c r="E682" s="16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3.2" x14ac:dyDescent="0.25">
      <c r="A683" s="1"/>
      <c r="B683" s="1"/>
      <c r="C683" s="1"/>
      <c r="D683" s="1"/>
      <c r="E683" s="16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3.2" x14ac:dyDescent="0.25">
      <c r="A684" s="1"/>
      <c r="B684" s="1"/>
      <c r="C684" s="1"/>
      <c r="D684" s="1"/>
      <c r="E684" s="16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3.2" x14ac:dyDescent="0.25">
      <c r="A685" s="1"/>
      <c r="B685" s="1"/>
      <c r="C685" s="1"/>
      <c r="D685" s="1"/>
      <c r="E685" s="16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3.2" x14ac:dyDescent="0.25">
      <c r="A686" s="1"/>
      <c r="B686" s="1"/>
      <c r="C686" s="1"/>
      <c r="D686" s="1"/>
      <c r="E686" s="16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3.2" x14ac:dyDescent="0.25">
      <c r="A687" s="1"/>
      <c r="B687" s="1"/>
      <c r="C687" s="1"/>
      <c r="D687" s="1"/>
      <c r="E687" s="16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3.2" x14ac:dyDescent="0.25">
      <c r="A688" s="1"/>
      <c r="B688" s="1"/>
      <c r="C688" s="1"/>
      <c r="D688" s="1"/>
      <c r="E688" s="16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3.2" x14ac:dyDescent="0.25">
      <c r="A689" s="1"/>
      <c r="B689" s="1"/>
      <c r="C689" s="1"/>
      <c r="D689" s="1"/>
      <c r="E689" s="16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3.2" x14ac:dyDescent="0.25">
      <c r="A690" s="1"/>
      <c r="B690" s="1"/>
      <c r="C690" s="1"/>
      <c r="D690" s="1"/>
      <c r="E690" s="16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3.2" x14ac:dyDescent="0.25">
      <c r="A691" s="1"/>
      <c r="B691" s="1"/>
      <c r="C691" s="1"/>
      <c r="D691" s="1"/>
      <c r="E691" s="16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3.2" x14ac:dyDescent="0.25">
      <c r="A692" s="1"/>
      <c r="B692" s="1"/>
      <c r="C692" s="1"/>
      <c r="D692" s="1"/>
      <c r="E692" s="16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3.2" x14ac:dyDescent="0.25">
      <c r="A693" s="1"/>
      <c r="B693" s="1"/>
      <c r="C693" s="1"/>
      <c r="D693" s="1"/>
      <c r="E693" s="16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3.2" x14ac:dyDescent="0.25">
      <c r="A694" s="1"/>
      <c r="B694" s="1"/>
      <c r="C694" s="1"/>
      <c r="D694" s="1"/>
      <c r="E694" s="16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3.2" x14ac:dyDescent="0.25">
      <c r="A695" s="1"/>
      <c r="B695" s="1"/>
      <c r="C695" s="1"/>
      <c r="D695" s="1"/>
      <c r="E695" s="16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3.2" x14ac:dyDescent="0.25">
      <c r="A696" s="1"/>
      <c r="B696" s="1"/>
      <c r="C696" s="1"/>
      <c r="D696" s="1"/>
      <c r="E696" s="16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3.2" x14ac:dyDescent="0.25">
      <c r="A697" s="1"/>
      <c r="B697" s="1"/>
      <c r="C697" s="1"/>
      <c r="D697" s="1"/>
      <c r="E697" s="16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3.2" x14ac:dyDescent="0.25">
      <c r="A698" s="1"/>
      <c r="B698" s="1"/>
      <c r="C698" s="1"/>
      <c r="D698" s="1"/>
      <c r="E698" s="16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3.2" x14ac:dyDescent="0.25">
      <c r="A699" s="1"/>
      <c r="B699" s="1"/>
      <c r="C699" s="1"/>
      <c r="D699" s="1"/>
      <c r="E699" s="16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3.2" x14ac:dyDescent="0.25">
      <c r="A700" s="1"/>
      <c r="B700" s="1"/>
      <c r="C700" s="1"/>
      <c r="D700" s="1"/>
      <c r="E700" s="16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3.2" x14ac:dyDescent="0.25">
      <c r="A701" s="1"/>
      <c r="B701" s="1"/>
      <c r="C701" s="1"/>
      <c r="D701" s="1"/>
      <c r="E701" s="16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3.2" x14ac:dyDescent="0.25">
      <c r="A702" s="1"/>
      <c r="B702" s="1"/>
      <c r="C702" s="1"/>
      <c r="D702" s="1"/>
      <c r="E702" s="16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3.2" x14ac:dyDescent="0.25">
      <c r="A703" s="1"/>
      <c r="B703" s="1"/>
      <c r="C703" s="1"/>
      <c r="D703" s="1"/>
      <c r="E703" s="16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3.2" x14ac:dyDescent="0.25">
      <c r="A704" s="1"/>
      <c r="B704" s="1"/>
      <c r="C704" s="1"/>
      <c r="D704" s="1"/>
      <c r="E704" s="16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3.2" x14ac:dyDescent="0.25">
      <c r="A705" s="1"/>
      <c r="B705" s="1"/>
      <c r="C705" s="1"/>
      <c r="D705" s="1"/>
      <c r="E705" s="16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3.2" x14ac:dyDescent="0.25">
      <c r="A706" s="1"/>
      <c r="B706" s="1"/>
      <c r="C706" s="1"/>
      <c r="D706" s="1"/>
      <c r="E706" s="16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3.2" x14ac:dyDescent="0.25">
      <c r="A707" s="1"/>
      <c r="B707" s="1"/>
      <c r="C707" s="1"/>
      <c r="D707" s="1"/>
      <c r="E707" s="16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3.2" x14ac:dyDescent="0.25">
      <c r="A708" s="1"/>
      <c r="B708" s="1"/>
      <c r="C708" s="1"/>
      <c r="D708" s="1"/>
      <c r="E708" s="16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3.2" x14ac:dyDescent="0.25">
      <c r="A709" s="1"/>
      <c r="B709" s="1"/>
      <c r="C709" s="1"/>
      <c r="D709" s="1"/>
      <c r="E709" s="16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3.2" x14ac:dyDescent="0.25">
      <c r="A710" s="1"/>
      <c r="B710" s="1"/>
      <c r="C710" s="1"/>
      <c r="D710" s="1"/>
      <c r="E710" s="16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3.2" x14ac:dyDescent="0.25">
      <c r="A711" s="1"/>
      <c r="B711" s="1"/>
      <c r="C711" s="1"/>
      <c r="D711" s="1"/>
      <c r="E711" s="16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3.2" x14ac:dyDescent="0.25">
      <c r="A712" s="1"/>
      <c r="B712" s="1"/>
      <c r="C712" s="1"/>
      <c r="D712" s="1"/>
      <c r="E712" s="16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3.2" x14ac:dyDescent="0.25">
      <c r="A713" s="1"/>
      <c r="B713" s="1"/>
      <c r="C713" s="1"/>
      <c r="D713" s="1"/>
      <c r="E713" s="16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3.2" x14ac:dyDescent="0.25">
      <c r="A714" s="1"/>
      <c r="B714" s="1"/>
      <c r="C714" s="1"/>
      <c r="D714" s="1"/>
      <c r="E714" s="16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3.2" x14ac:dyDescent="0.25">
      <c r="A715" s="1"/>
      <c r="B715" s="1"/>
      <c r="C715" s="1"/>
      <c r="D715" s="1"/>
      <c r="E715" s="16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3.2" x14ac:dyDescent="0.25">
      <c r="A716" s="1"/>
      <c r="B716" s="1"/>
      <c r="C716" s="1"/>
      <c r="D716" s="1"/>
      <c r="E716" s="16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3.2" x14ac:dyDescent="0.25">
      <c r="A717" s="1"/>
      <c r="B717" s="1"/>
      <c r="C717" s="1"/>
      <c r="D717" s="1"/>
      <c r="E717" s="16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3.2" x14ac:dyDescent="0.25">
      <c r="A718" s="1"/>
      <c r="B718" s="1"/>
      <c r="C718" s="1"/>
      <c r="D718" s="1"/>
      <c r="E718" s="16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3.2" x14ac:dyDescent="0.25">
      <c r="A719" s="1"/>
      <c r="B719" s="1"/>
      <c r="C719" s="1"/>
      <c r="D719" s="1"/>
      <c r="E719" s="16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3.2" x14ac:dyDescent="0.25">
      <c r="A720" s="1"/>
      <c r="B720" s="1"/>
      <c r="C720" s="1"/>
      <c r="D720" s="1"/>
      <c r="E720" s="16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3.2" x14ac:dyDescent="0.25">
      <c r="A721" s="1"/>
      <c r="B721" s="1"/>
      <c r="C721" s="1"/>
      <c r="D721" s="1"/>
      <c r="E721" s="16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3.2" x14ac:dyDescent="0.25">
      <c r="A722" s="1"/>
      <c r="B722" s="1"/>
      <c r="C722" s="1"/>
      <c r="D722" s="1"/>
      <c r="E722" s="16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3.2" x14ac:dyDescent="0.25">
      <c r="A723" s="1"/>
      <c r="B723" s="1"/>
      <c r="C723" s="1"/>
      <c r="D723" s="1"/>
      <c r="E723" s="16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3.2" x14ac:dyDescent="0.25">
      <c r="A724" s="1"/>
      <c r="B724" s="1"/>
      <c r="C724" s="1"/>
      <c r="D724" s="1"/>
      <c r="E724" s="16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3.2" x14ac:dyDescent="0.25">
      <c r="A725" s="1"/>
      <c r="B725" s="1"/>
      <c r="C725" s="1"/>
      <c r="D725" s="1"/>
      <c r="E725" s="16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3.2" x14ac:dyDescent="0.25">
      <c r="A726" s="1"/>
      <c r="B726" s="1"/>
      <c r="C726" s="1"/>
      <c r="D726" s="1"/>
      <c r="E726" s="16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3.2" x14ac:dyDescent="0.25">
      <c r="A727" s="1"/>
      <c r="B727" s="1"/>
      <c r="C727" s="1"/>
      <c r="D727" s="1"/>
      <c r="E727" s="16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3.2" x14ac:dyDescent="0.25">
      <c r="A728" s="1"/>
      <c r="B728" s="1"/>
      <c r="C728" s="1"/>
      <c r="D728" s="1"/>
      <c r="E728" s="16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3.2" x14ac:dyDescent="0.25">
      <c r="A729" s="1"/>
      <c r="B729" s="1"/>
      <c r="C729" s="1"/>
      <c r="D729" s="1"/>
      <c r="E729" s="16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3.2" x14ac:dyDescent="0.25">
      <c r="A730" s="1"/>
      <c r="B730" s="1"/>
      <c r="C730" s="1"/>
      <c r="D730" s="1"/>
      <c r="E730" s="16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3.2" x14ac:dyDescent="0.25">
      <c r="A731" s="1"/>
      <c r="B731" s="1"/>
      <c r="C731" s="1"/>
      <c r="D731" s="1"/>
      <c r="E731" s="16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3.2" x14ac:dyDescent="0.25">
      <c r="A732" s="1"/>
      <c r="B732" s="1"/>
      <c r="C732" s="1"/>
      <c r="D732" s="1"/>
      <c r="E732" s="16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3.2" x14ac:dyDescent="0.25">
      <c r="A733" s="1"/>
      <c r="B733" s="1"/>
      <c r="C733" s="1"/>
      <c r="D733" s="1"/>
      <c r="E733" s="16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3.2" x14ac:dyDescent="0.25">
      <c r="A734" s="1"/>
      <c r="B734" s="1"/>
      <c r="C734" s="1"/>
      <c r="D734" s="1"/>
      <c r="E734" s="16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3.2" x14ac:dyDescent="0.25">
      <c r="A735" s="1"/>
      <c r="B735" s="1"/>
      <c r="C735" s="1"/>
      <c r="D735" s="1"/>
      <c r="E735" s="16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3.2" x14ac:dyDescent="0.25">
      <c r="A736" s="1"/>
      <c r="B736" s="1"/>
      <c r="C736" s="1"/>
      <c r="D736" s="1"/>
      <c r="E736" s="16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3.2" x14ac:dyDescent="0.25">
      <c r="A737" s="1"/>
      <c r="B737" s="1"/>
      <c r="C737" s="1"/>
      <c r="D737" s="1"/>
      <c r="E737" s="16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3.2" x14ac:dyDescent="0.25">
      <c r="A738" s="1"/>
      <c r="B738" s="1"/>
      <c r="C738" s="1"/>
      <c r="D738" s="1"/>
      <c r="E738" s="16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3.2" x14ac:dyDescent="0.25">
      <c r="A739" s="1"/>
      <c r="B739" s="1"/>
      <c r="C739" s="1"/>
      <c r="D739" s="1"/>
      <c r="E739" s="16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3.2" x14ac:dyDescent="0.25">
      <c r="A740" s="1"/>
      <c r="B740" s="1"/>
      <c r="C740" s="1"/>
      <c r="D740" s="1"/>
      <c r="E740" s="16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3.2" x14ac:dyDescent="0.25">
      <c r="A741" s="1"/>
      <c r="B741" s="1"/>
      <c r="C741" s="1"/>
      <c r="D741" s="1"/>
      <c r="E741" s="16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3.2" x14ac:dyDescent="0.25">
      <c r="A742" s="1"/>
      <c r="B742" s="1"/>
      <c r="C742" s="1"/>
      <c r="D742" s="1"/>
      <c r="E742" s="16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3.2" x14ac:dyDescent="0.25">
      <c r="A743" s="1"/>
      <c r="B743" s="1"/>
      <c r="C743" s="1"/>
      <c r="D743" s="1"/>
      <c r="E743" s="16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3.2" x14ac:dyDescent="0.25">
      <c r="A744" s="1"/>
      <c r="B744" s="1"/>
      <c r="C744" s="1"/>
      <c r="D744" s="1"/>
      <c r="E744" s="16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3.2" x14ac:dyDescent="0.25">
      <c r="A745" s="1"/>
      <c r="B745" s="1"/>
      <c r="C745" s="1"/>
      <c r="D745" s="1"/>
      <c r="E745" s="16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3.2" x14ac:dyDescent="0.25">
      <c r="A746" s="1"/>
      <c r="B746" s="1"/>
      <c r="C746" s="1"/>
      <c r="D746" s="1"/>
      <c r="E746" s="16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3.2" x14ac:dyDescent="0.25">
      <c r="A747" s="1"/>
      <c r="B747" s="1"/>
      <c r="C747" s="1"/>
      <c r="D747" s="1"/>
      <c r="E747" s="16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3.2" x14ac:dyDescent="0.25">
      <c r="A748" s="1"/>
      <c r="B748" s="1"/>
      <c r="C748" s="1"/>
      <c r="D748" s="1"/>
      <c r="E748" s="16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3.2" x14ac:dyDescent="0.25">
      <c r="A749" s="1"/>
      <c r="B749" s="1"/>
      <c r="C749" s="1"/>
      <c r="D749" s="1"/>
      <c r="E749" s="16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3.2" x14ac:dyDescent="0.25">
      <c r="A750" s="1"/>
      <c r="B750" s="1"/>
      <c r="C750" s="1"/>
      <c r="D750" s="1"/>
      <c r="E750" s="16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3.2" x14ac:dyDescent="0.25">
      <c r="A751" s="1"/>
      <c r="B751" s="1"/>
      <c r="C751" s="1"/>
      <c r="D751" s="1"/>
      <c r="E751" s="16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3.2" x14ac:dyDescent="0.25">
      <c r="A752" s="1"/>
      <c r="B752" s="1"/>
      <c r="C752" s="1"/>
      <c r="D752" s="1"/>
      <c r="E752" s="16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3.2" x14ac:dyDescent="0.25">
      <c r="A753" s="1"/>
      <c r="B753" s="1"/>
      <c r="C753" s="1"/>
      <c r="D753" s="1"/>
      <c r="E753" s="16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3.2" x14ac:dyDescent="0.25">
      <c r="A754" s="1"/>
      <c r="B754" s="1"/>
      <c r="C754" s="1"/>
      <c r="D754" s="1"/>
      <c r="E754" s="16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3.2" x14ac:dyDescent="0.25">
      <c r="A755" s="1"/>
      <c r="B755" s="1"/>
      <c r="C755" s="1"/>
      <c r="D755" s="1"/>
      <c r="E755" s="16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3.2" x14ac:dyDescent="0.25">
      <c r="A756" s="1"/>
      <c r="B756" s="1"/>
      <c r="C756" s="1"/>
      <c r="D756" s="1"/>
      <c r="E756" s="16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3.2" x14ac:dyDescent="0.25">
      <c r="A757" s="1"/>
      <c r="B757" s="1"/>
      <c r="C757" s="1"/>
      <c r="D757" s="1"/>
      <c r="E757" s="16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3.2" x14ac:dyDescent="0.25">
      <c r="A758" s="1"/>
      <c r="B758" s="1"/>
      <c r="C758" s="1"/>
      <c r="D758" s="1"/>
      <c r="E758" s="16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3.2" x14ac:dyDescent="0.25">
      <c r="A759" s="1"/>
      <c r="B759" s="1"/>
      <c r="C759" s="1"/>
      <c r="D759" s="1"/>
      <c r="E759" s="16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3.2" x14ac:dyDescent="0.25">
      <c r="A760" s="1"/>
      <c r="B760" s="1"/>
      <c r="C760" s="1"/>
      <c r="D760" s="1"/>
      <c r="E760" s="16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3.2" x14ac:dyDescent="0.25">
      <c r="A761" s="1"/>
      <c r="B761" s="1"/>
      <c r="C761" s="1"/>
      <c r="D761" s="1"/>
      <c r="E761" s="16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3.2" x14ac:dyDescent="0.25">
      <c r="A762" s="1"/>
      <c r="B762" s="1"/>
      <c r="C762" s="1"/>
      <c r="D762" s="1"/>
      <c r="E762" s="16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3.2" x14ac:dyDescent="0.25">
      <c r="A763" s="1"/>
      <c r="B763" s="1"/>
      <c r="C763" s="1"/>
      <c r="D763" s="1"/>
      <c r="E763" s="16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3.2" x14ac:dyDescent="0.25">
      <c r="A764" s="1"/>
      <c r="B764" s="1"/>
      <c r="C764" s="1"/>
      <c r="D764" s="1"/>
      <c r="E764" s="16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3.2" x14ac:dyDescent="0.25">
      <c r="A765" s="1"/>
      <c r="B765" s="1"/>
      <c r="C765" s="1"/>
      <c r="D765" s="1"/>
      <c r="E765" s="16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3.2" x14ac:dyDescent="0.25">
      <c r="A766" s="1"/>
      <c r="B766" s="1"/>
      <c r="C766" s="1"/>
      <c r="D766" s="1"/>
      <c r="E766" s="16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3.2" x14ac:dyDescent="0.25">
      <c r="A767" s="1"/>
      <c r="B767" s="1"/>
      <c r="C767" s="1"/>
      <c r="D767" s="1"/>
      <c r="E767" s="16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3.2" x14ac:dyDescent="0.25">
      <c r="A768" s="1"/>
      <c r="B768" s="1"/>
      <c r="C768" s="1"/>
      <c r="D768" s="1"/>
      <c r="E768" s="16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3.2" x14ac:dyDescent="0.25">
      <c r="A769" s="1"/>
      <c r="B769" s="1"/>
      <c r="C769" s="1"/>
      <c r="D769" s="1"/>
      <c r="E769" s="16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3.2" x14ac:dyDescent="0.25">
      <c r="A770" s="1"/>
      <c r="B770" s="1"/>
      <c r="C770" s="1"/>
      <c r="D770" s="1"/>
      <c r="E770" s="16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3.2" x14ac:dyDescent="0.25">
      <c r="A771" s="1"/>
      <c r="B771" s="1"/>
      <c r="C771" s="1"/>
      <c r="D771" s="1"/>
      <c r="E771" s="16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3.2" x14ac:dyDescent="0.25">
      <c r="A772" s="1"/>
      <c r="B772" s="1"/>
      <c r="C772" s="1"/>
      <c r="D772" s="1"/>
      <c r="E772" s="16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3.2" x14ac:dyDescent="0.25">
      <c r="A773" s="1"/>
      <c r="B773" s="1"/>
      <c r="C773" s="1"/>
      <c r="D773" s="1"/>
      <c r="E773" s="16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3.2" x14ac:dyDescent="0.25">
      <c r="A774" s="1"/>
      <c r="B774" s="1"/>
      <c r="C774" s="1"/>
      <c r="D774" s="1"/>
      <c r="E774" s="16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3.2" x14ac:dyDescent="0.25">
      <c r="A775" s="1"/>
      <c r="B775" s="1"/>
      <c r="C775" s="1"/>
      <c r="D775" s="1"/>
      <c r="E775" s="16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3.2" x14ac:dyDescent="0.25">
      <c r="A776" s="1"/>
      <c r="B776" s="1"/>
      <c r="C776" s="1"/>
      <c r="D776" s="1"/>
      <c r="E776" s="16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3.2" x14ac:dyDescent="0.25">
      <c r="A777" s="1"/>
      <c r="B777" s="1"/>
      <c r="C777" s="1"/>
      <c r="D777" s="1"/>
      <c r="E777" s="16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3.2" x14ac:dyDescent="0.25">
      <c r="A778" s="1"/>
      <c r="B778" s="1"/>
      <c r="C778" s="1"/>
      <c r="D778" s="1"/>
      <c r="E778" s="16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3.2" x14ac:dyDescent="0.25">
      <c r="A779" s="1"/>
      <c r="B779" s="1"/>
      <c r="C779" s="1"/>
      <c r="D779" s="1"/>
      <c r="E779" s="16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3.2" x14ac:dyDescent="0.25">
      <c r="A780" s="1"/>
      <c r="B780" s="1"/>
      <c r="C780" s="1"/>
      <c r="D780" s="1"/>
      <c r="E780" s="16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3.2" x14ac:dyDescent="0.25">
      <c r="A781" s="1"/>
      <c r="B781" s="1"/>
      <c r="C781" s="1"/>
      <c r="D781" s="1"/>
      <c r="E781" s="16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3.2" x14ac:dyDescent="0.25">
      <c r="A782" s="1"/>
      <c r="B782" s="1"/>
      <c r="C782" s="1"/>
      <c r="D782" s="1"/>
      <c r="E782" s="16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3.2" x14ac:dyDescent="0.25">
      <c r="A783" s="1"/>
      <c r="B783" s="1"/>
      <c r="C783" s="1"/>
      <c r="D783" s="1"/>
      <c r="E783" s="16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3.2" x14ac:dyDescent="0.25">
      <c r="A784" s="1"/>
      <c r="B784" s="1"/>
      <c r="C784" s="1"/>
      <c r="D784" s="1"/>
      <c r="E784" s="16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3.2" x14ac:dyDescent="0.25">
      <c r="A785" s="1"/>
      <c r="B785" s="1"/>
      <c r="C785" s="1"/>
      <c r="D785" s="1"/>
      <c r="E785" s="16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3.2" x14ac:dyDescent="0.25">
      <c r="A786" s="1"/>
      <c r="B786" s="1"/>
      <c r="C786" s="1"/>
      <c r="D786" s="1"/>
      <c r="E786" s="16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3.2" x14ac:dyDescent="0.25">
      <c r="A787" s="1"/>
      <c r="B787" s="1"/>
      <c r="C787" s="1"/>
      <c r="D787" s="1"/>
      <c r="E787" s="16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3.2" x14ac:dyDescent="0.25">
      <c r="A788" s="1"/>
      <c r="B788" s="1"/>
      <c r="C788" s="1"/>
      <c r="D788" s="1"/>
      <c r="E788" s="16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3.2" x14ac:dyDescent="0.25">
      <c r="A789" s="1"/>
      <c r="B789" s="1"/>
      <c r="C789" s="1"/>
      <c r="D789" s="1"/>
      <c r="E789" s="16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3.2" x14ac:dyDescent="0.25">
      <c r="A790" s="1"/>
      <c r="B790" s="1"/>
      <c r="C790" s="1"/>
      <c r="D790" s="1"/>
      <c r="E790" s="16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3.2" x14ac:dyDescent="0.25">
      <c r="A791" s="1"/>
      <c r="B791" s="1"/>
      <c r="C791" s="1"/>
      <c r="D791" s="1"/>
      <c r="E791" s="16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3.2" x14ac:dyDescent="0.25">
      <c r="A792" s="1"/>
      <c r="B792" s="1"/>
      <c r="C792" s="1"/>
      <c r="D792" s="1"/>
      <c r="E792" s="16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3.2" x14ac:dyDescent="0.25">
      <c r="A793" s="1"/>
      <c r="B793" s="1"/>
      <c r="C793" s="1"/>
      <c r="D793" s="1"/>
      <c r="E793" s="16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3.2" x14ac:dyDescent="0.25">
      <c r="A794" s="1"/>
      <c r="B794" s="1"/>
      <c r="C794" s="1"/>
      <c r="D794" s="1"/>
      <c r="E794" s="16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3.2" x14ac:dyDescent="0.25">
      <c r="A795" s="1"/>
      <c r="B795" s="1"/>
      <c r="C795" s="1"/>
      <c r="D795" s="1"/>
      <c r="E795" s="16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3.2" x14ac:dyDescent="0.25">
      <c r="A796" s="1"/>
      <c r="B796" s="1"/>
      <c r="C796" s="1"/>
      <c r="D796" s="1"/>
      <c r="E796" s="16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3.2" x14ac:dyDescent="0.25">
      <c r="A797" s="1"/>
      <c r="B797" s="1"/>
      <c r="C797" s="1"/>
      <c r="D797" s="1"/>
      <c r="E797" s="16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3.2" x14ac:dyDescent="0.25">
      <c r="A798" s="1"/>
      <c r="B798" s="1"/>
      <c r="C798" s="1"/>
      <c r="D798" s="1"/>
      <c r="E798" s="16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3.2" x14ac:dyDescent="0.25">
      <c r="A799" s="1"/>
      <c r="B799" s="1"/>
      <c r="C799" s="1"/>
      <c r="D799" s="1"/>
      <c r="E799" s="16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3.2" x14ac:dyDescent="0.25">
      <c r="A800" s="1"/>
      <c r="B800" s="1"/>
      <c r="C800" s="1"/>
      <c r="D800" s="1"/>
      <c r="E800" s="16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3.2" x14ac:dyDescent="0.25">
      <c r="A801" s="1"/>
      <c r="B801" s="1"/>
      <c r="C801" s="1"/>
      <c r="D801" s="1"/>
      <c r="E801" s="16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3.2" x14ac:dyDescent="0.25">
      <c r="A802" s="1"/>
      <c r="B802" s="1"/>
      <c r="C802" s="1"/>
      <c r="D802" s="1"/>
      <c r="E802" s="16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3.2" x14ac:dyDescent="0.25">
      <c r="A803" s="1"/>
      <c r="B803" s="1"/>
      <c r="C803" s="1"/>
      <c r="D803" s="1"/>
      <c r="E803" s="16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3.2" x14ac:dyDescent="0.25">
      <c r="A804" s="1"/>
      <c r="B804" s="1"/>
      <c r="C804" s="1"/>
      <c r="D804" s="1"/>
      <c r="E804" s="16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3.2" x14ac:dyDescent="0.25">
      <c r="A805" s="1"/>
      <c r="B805" s="1"/>
      <c r="C805" s="1"/>
      <c r="D805" s="1"/>
      <c r="E805" s="16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3.2" x14ac:dyDescent="0.25">
      <c r="A806" s="1"/>
      <c r="B806" s="1"/>
      <c r="C806" s="1"/>
      <c r="D806" s="1"/>
      <c r="E806" s="16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3.2" x14ac:dyDescent="0.25">
      <c r="A807" s="1"/>
      <c r="B807" s="1"/>
      <c r="C807" s="1"/>
      <c r="D807" s="1"/>
      <c r="E807" s="16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3.2" x14ac:dyDescent="0.25">
      <c r="A808" s="1"/>
      <c r="B808" s="1"/>
      <c r="C808" s="1"/>
      <c r="D808" s="1"/>
      <c r="E808" s="16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3.2" x14ac:dyDescent="0.25">
      <c r="A809" s="1"/>
      <c r="B809" s="1"/>
      <c r="C809" s="1"/>
      <c r="D809" s="1"/>
      <c r="E809" s="16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3.2" x14ac:dyDescent="0.25">
      <c r="A810" s="1"/>
      <c r="B810" s="1"/>
      <c r="C810" s="1"/>
      <c r="D810" s="1"/>
      <c r="E810" s="16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3.2" x14ac:dyDescent="0.25">
      <c r="A811" s="1"/>
      <c r="B811" s="1"/>
      <c r="C811" s="1"/>
      <c r="D811" s="1"/>
      <c r="E811" s="16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3.2" x14ac:dyDescent="0.25">
      <c r="A812" s="1"/>
      <c r="B812" s="1"/>
      <c r="C812" s="1"/>
      <c r="D812" s="1"/>
      <c r="E812" s="16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3.2" x14ac:dyDescent="0.25">
      <c r="A813" s="1"/>
      <c r="B813" s="1"/>
      <c r="C813" s="1"/>
      <c r="D813" s="1"/>
      <c r="E813" s="16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3.2" x14ac:dyDescent="0.25">
      <c r="A814" s="1"/>
      <c r="B814" s="1"/>
      <c r="C814" s="1"/>
      <c r="D814" s="1"/>
      <c r="E814" s="16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3.2" x14ac:dyDescent="0.25">
      <c r="A815" s="1"/>
      <c r="B815" s="1"/>
      <c r="C815" s="1"/>
      <c r="D815" s="1"/>
      <c r="E815" s="16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3.2" x14ac:dyDescent="0.25">
      <c r="A816" s="1"/>
      <c r="B816" s="1"/>
      <c r="C816" s="1"/>
      <c r="D816" s="1"/>
      <c r="E816" s="16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3.2" x14ac:dyDescent="0.25">
      <c r="A817" s="1"/>
      <c r="B817" s="1"/>
      <c r="C817" s="1"/>
      <c r="D817" s="1"/>
      <c r="E817" s="16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3.2" x14ac:dyDescent="0.25">
      <c r="A818" s="1"/>
      <c r="B818" s="1"/>
      <c r="C818" s="1"/>
      <c r="D818" s="1"/>
      <c r="E818" s="16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3.2" x14ac:dyDescent="0.25">
      <c r="A819" s="1"/>
      <c r="B819" s="1"/>
      <c r="C819" s="1"/>
      <c r="D819" s="1"/>
      <c r="E819" s="16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3.2" x14ac:dyDescent="0.25">
      <c r="A820" s="1"/>
      <c r="B820" s="1"/>
      <c r="C820" s="1"/>
      <c r="D820" s="1"/>
      <c r="E820" s="16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3.2" x14ac:dyDescent="0.25">
      <c r="A821" s="1"/>
      <c r="B821" s="1"/>
      <c r="C821" s="1"/>
      <c r="D821" s="1"/>
      <c r="E821" s="16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3.2" x14ac:dyDescent="0.25">
      <c r="A822" s="1"/>
      <c r="B822" s="1"/>
      <c r="C822" s="1"/>
      <c r="D822" s="1"/>
      <c r="E822" s="16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3.2" x14ac:dyDescent="0.25">
      <c r="A823" s="1"/>
      <c r="B823" s="1"/>
      <c r="C823" s="1"/>
      <c r="D823" s="1"/>
      <c r="E823" s="16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3.2" x14ac:dyDescent="0.25">
      <c r="A824" s="1"/>
      <c r="B824" s="1"/>
      <c r="C824" s="1"/>
      <c r="D824" s="1"/>
      <c r="E824" s="16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3.2" x14ac:dyDescent="0.25">
      <c r="A825" s="1"/>
      <c r="B825" s="1"/>
      <c r="C825" s="1"/>
      <c r="D825" s="1"/>
      <c r="E825" s="16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3.2" x14ac:dyDescent="0.25">
      <c r="A826" s="1"/>
      <c r="B826" s="1"/>
      <c r="C826" s="1"/>
      <c r="D826" s="1"/>
      <c r="E826" s="16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3.2" x14ac:dyDescent="0.25">
      <c r="A827" s="1"/>
      <c r="B827" s="1"/>
      <c r="C827" s="1"/>
      <c r="D827" s="1"/>
      <c r="E827" s="16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3.2" x14ac:dyDescent="0.25">
      <c r="A828" s="1"/>
      <c r="B828" s="1"/>
      <c r="C828" s="1"/>
      <c r="D828" s="1"/>
      <c r="E828" s="16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3.2" x14ac:dyDescent="0.25">
      <c r="A829" s="1"/>
      <c r="B829" s="1"/>
      <c r="C829" s="1"/>
      <c r="D829" s="1"/>
      <c r="E829" s="16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3.2" x14ac:dyDescent="0.25">
      <c r="A830" s="1"/>
      <c r="B830" s="1"/>
      <c r="C830" s="1"/>
      <c r="D830" s="1"/>
      <c r="E830" s="16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3.2" x14ac:dyDescent="0.25">
      <c r="A831" s="1"/>
      <c r="B831" s="1"/>
      <c r="C831" s="1"/>
      <c r="D831" s="1"/>
      <c r="E831" s="16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3.2" x14ac:dyDescent="0.25">
      <c r="A832" s="1"/>
      <c r="B832" s="1"/>
      <c r="C832" s="1"/>
      <c r="D832" s="1"/>
      <c r="E832" s="16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3.2" x14ac:dyDescent="0.25">
      <c r="A833" s="1"/>
      <c r="B833" s="1"/>
      <c r="C833" s="1"/>
      <c r="D833" s="1"/>
      <c r="E833" s="16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3.2" x14ac:dyDescent="0.25">
      <c r="A834" s="1"/>
      <c r="B834" s="1"/>
      <c r="C834" s="1"/>
      <c r="D834" s="1"/>
      <c r="E834" s="16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3.2" x14ac:dyDescent="0.25">
      <c r="A835" s="1"/>
      <c r="B835" s="1"/>
      <c r="C835" s="1"/>
      <c r="D835" s="1"/>
      <c r="E835" s="16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3.2" x14ac:dyDescent="0.25">
      <c r="A836" s="1"/>
      <c r="B836" s="1"/>
      <c r="C836" s="1"/>
      <c r="D836" s="1"/>
      <c r="E836" s="16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3.2" x14ac:dyDescent="0.25">
      <c r="A837" s="1"/>
      <c r="B837" s="1"/>
      <c r="C837" s="1"/>
      <c r="D837" s="1"/>
      <c r="E837" s="16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3.2" x14ac:dyDescent="0.25">
      <c r="A838" s="1"/>
      <c r="B838" s="1"/>
      <c r="C838" s="1"/>
      <c r="D838" s="1"/>
      <c r="E838" s="16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3.2" x14ac:dyDescent="0.25">
      <c r="A839" s="1"/>
      <c r="B839" s="1"/>
      <c r="C839" s="1"/>
      <c r="D839" s="1"/>
      <c r="E839" s="16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3.2" x14ac:dyDescent="0.25">
      <c r="A840" s="1"/>
      <c r="B840" s="1"/>
      <c r="C840" s="1"/>
      <c r="D840" s="1"/>
      <c r="E840" s="16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3.2" x14ac:dyDescent="0.25">
      <c r="A841" s="1"/>
      <c r="B841" s="1"/>
      <c r="C841" s="1"/>
      <c r="D841" s="1"/>
      <c r="E841" s="16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3.2" x14ac:dyDescent="0.25">
      <c r="A842" s="1"/>
      <c r="B842" s="1"/>
      <c r="C842" s="1"/>
      <c r="D842" s="1"/>
      <c r="E842" s="16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3.2" x14ac:dyDescent="0.25">
      <c r="A843" s="1"/>
      <c r="B843" s="1"/>
      <c r="C843" s="1"/>
      <c r="D843" s="1"/>
      <c r="E843" s="16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3.2" x14ac:dyDescent="0.25">
      <c r="A844" s="1"/>
      <c r="B844" s="1"/>
      <c r="C844" s="1"/>
      <c r="D844" s="1"/>
      <c r="E844" s="16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3.2" x14ac:dyDescent="0.25">
      <c r="A845" s="1"/>
      <c r="B845" s="1"/>
      <c r="C845" s="1"/>
      <c r="D845" s="1"/>
      <c r="E845" s="16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3.2" x14ac:dyDescent="0.25">
      <c r="A846" s="1"/>
      <c r="B846" s="1"/>
      <c r="C846" s="1"/>
      <c r="D846" s="1"/>
      <c r="E846" s="16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3.2" x14ac:dyDescent="0.25">
      <c r="A847" s="1"/>
      <c r="B847" s="1"/>
      <c r="C847" s="1"/>
      <c r="D847" s="1"/>
      <c r="E847" s="16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3.2" x14ac:dyDescent="0.25">
      <c r="A848" s="1"/>
      <c r="B848" s="1"/>
      <c r="C848" s="1"/>
      <c r="D848" s="1"/>
      <c r="E848" s="16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3.2" x14ac:dyDescent="0.25">
      <c r="A849" s="1"/>
      <c r="B849" s="1"/>
      <c r="C849" s="1"/>
      <c r="D849" s="1"/>
      <c r="E849" s="16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3.2" x14ac:dyDescent="0.25">
      <c r="A850" s="1"/>
      <c r="B850" s="1"/>
      <c r="C850" s="1"/>
      <c r="D850" s="1"/>
      <c r="E850" s="16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3.2" x14ac:dyDescent="0.25">
      <c r="A851" s="1"/>
      <c r="B851" s="1"/>
      <c r="C851" s="1"/>
      <c r="D851" s="1"/>
      <c r="E851" s="16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3.2" x14ac:dyDescent="0.25">
      <c r="A852" s="1"/>
      <c r="B852" s="1"/>
      <c r="C852" s="1"/>
      <c r="D852" s="1"/>
      <c r="E852" s="16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3.2" x14ac:dyDescent="0.25">
      <c r="A853" s="1"/>
      <c r="B853" s="1"/>
      <c r="C853" s="1"/>
      <c r="D853" s="1"/>
      <c r="E853" s="16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3.2" x14ac:dyDescent="0.25">
      <c r="A854" s="1"/>
      <c r="B854" s="1"/>
      <c r="C854" s="1"/>
      <c r="D854" s="1"/>
      <c r="E854" s="16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3.2" x14ac:dyDescent="0.25">
      <c r="A855" s="1"/>
      <c r="B855" s="1"/>
      <c r="C855" s="1"/>
      <c r="D855" s="1"/>
      <c r="E855" s="16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3.2" x14ac:dyDescent="0.25">
      <c r="A856" s="1"/>
      <c r="B856" s="1"/>
      <c r="C856" s="1"/>
      <c r="D856" s="1"/>
      <c r="E856" s="16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3.2" x14ac:dyDescent="0.25">
      <c r="A857" s="1"/>
      <c r="B857" s="1"/>
      <c r="C857" s="1"/>
      <c r="D857" s="1"/>
      <c r="E857" s="16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3.2" x14ac:dyDescent="0.25">
      <c r="A858" s="1"/>
      <c r="B858" s="1"/>
      <c r="C858" s="1"/>
      <c r="D858" s="1"/>
      <c r="E858" s="16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3.2" x14ac:dyDescent="0.25">
      <c r="A859" s="1"/>
      <c r="B859" s="1"/>
      <c r="C859" s="1"/>
      <c r="D859" s="1"/>
      <c r="E859" s="16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3.2" x14ac:dyDescent="0.25">
      <c r="A860" s="1"/>
      <c r="B860" s="1"/>
      <c r="C860" s="1"/>
      <c r="D860" s="1"/>
      <c r="E860" s="16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3.2" x14ac:dyDescent="0.25">
      <c r="A861" s="1"/>
      <c r="B861" s="1"/>
      <c r="C861" s="1"/>
      <c r="D861" s="1"/>
      <c r="E861" s="16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3.2" x14ac:dyDescent="0.25">
      <c r="A862" s="1"/>
      <c r="B862" s="1"/>
      <c r="C862" s="1"/>
      <c r="D862" s="1"/>
      <c r="E862" s="16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3.2" x14ac:dyDescent="0.25">
      <c r="A863" s="1"/>
      <c r="B863" s="1"/>
      <c r="C863" s="1"/>
      <c r="D863" s="1"/>
      <c r="E863" s="16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3.2" x14ac:dyDescent="0.25">
      <c r="A864" s="1"/>
      <c r="B864" s="1"/>
      <c r="C864" s="1"/>
      <c r="D864" s="1"/>
      <c r="E864" s="16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3.2" x14ac:dyDescent="0.25">
      <c r="A865" s="1"/>
      <c r="B865" s="1"/>
      <c r="C865" s="1"/>
      <c r="D865" s="1"/>
      <c r="E865" s="16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3.2" x14ac:dyDescent="0.25">
      <c r="A866" s="1"/>
      <c r="B866" s="1"/>
      <c r="C866" s="1"/>
      <c r="D866" s="1"/>
      <c r="E866" s="16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3.2" x14ac:dyDescent="0.25">
      <c r="A867" s="1"/>
      <c r="B867" s="1"/>
      <c r="C867" s="1"/>
      <c r="D867" s="1"/>
      <c r="E867" s="16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3.2" x14ac:dyDescent="0.25">
      <c r="A868" s="1"/>
      <c r="B868" s="1"/>
      <c r="C868" s="1"/>
      <c r="D868" s="1"/>
      <c r="E868" s="16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3.2" x14ac:dyDescent="0.25">
      <c r="A869" s="1"/>
      <c r="B869" s="1"/>
      <c r="C869" s="1"/>
      <c r="D869" s="1"/>
      <c r="E869" s="16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3.2" x14ac:dyDescent="0.25">
      <c r="A870" s="1"/>
      <c r="B870" s="1"/>
      <c r="C870" s="1"/>
      <c r="D870" s="1"/>
      <c r="E870" s="16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3.2" x14ac:dyDescent="0.25">
      <c r="A871" s="1"/>
      <c r="B871" s="1"/>
      <c r="C871" s="1"/>
      <c r="D871" s="1"/>
      <c r="E871" s="16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3.2" x14ac:dyDescent="0.25">
      <c r="A872" s="1"/>
      <c r="B872" s="1"/>
      <c r="C872" s="1"/>
      <c r="D872" s="1"/>
      <c r="E872" s="16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3.2" x14ac:dyDescent="0.25">
      <c r="A873" s="1"/>
      <c r="B873" s="1"/>
      <c r="C873" s="1"/>
      <c r="D873" s="1"/>
      <c r="E873" s="16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3.2" x14ac:dyDescent="0.25">
      <c r="A874" s="1"/>
      <c r="B874" s="1"/>
      <c r="C874" s="1"/>
      <c r="D874" s="1"/>
      <c r="E874" s="16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3.2" x14ac:dyDescent="0.25">
      <c r="A875" s="1"/>
      <c r="B875" s="1"/>
      <c r="C875" s="1"/>
      <c r="D875" s="1"/>
      <c r="E875" s="16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3.2" x14ac:dyDescent="0.25">
      <c r="A876" s="1"/>
      <c r="B876" s="1"/>
      <c r="C876" s="1"/>
      <c r="D876" s="1"/>
      <c r="E876" s="16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3.2" x14ac:dyDescent="0.25">
      <c r="A877" s="1"/>
      <c r="B877" s="1"/>
      <c r="C877" s="1"/>
      <c r="D877" s="1"/>
      <c r="E877" s="16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3.2" x14ac:dyDescent="0.25">
      <c r="A878" s="1"/>
      <c r="B878" s="1"/>
      <c r="C878" s="1"/>
      <c r="D878" s="1"/>
      <c r="E878" s="16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3.2" x14ac:dyDescent="0.25">
      <c r="A879" s="1"/>
      <c r="B879" s="1"/>
      <c r="C879" s="1"/>
      <c r="D879" s="1"/>
      <c r="E879" s="16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3.2" x14ac:dyDescent="0.25">
      <c r="A880" s="1"/>
      <c r="B880" s="1"/>
      <c r="C880" s="1"/>
      <c r="D880" s="1"/>
      <c r="E880" s="16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3.2" x14ac:dyDescent="0.25">
      <c r="A881" s="1"/>
      <c r="B881" s="1"/>
      <c r="C881" s="1"/>
      <c r="D881" s="1"/>
      <c r="E881" s="16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3.2" x14ac:dyDescent="0.25">
      <c r="A882" s="1"/>
      <c r="B882" s="1"/>
      <c r="C882" s="1"/>
      <c r="D882" s="1"/>
      <c r="E882" s="16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3.2" x14ac:dyDescent="0.25">
      <c r="A883" s="1"/>
      <c r="B883" s="1"/>
      <c r="C883" s="1"/>
      <c r="D883" s="1"/>
      <c r="E883" s="16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3.2" x14ac:dyDescent="0.25">
      <c r="A884" s="1"/>
      <c r="B884" s="1"/>
      <c r="C884" s="1"/>
      <c r="D884" s="1"/>
      <c r="E884" s="16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3.2" x14ac:dyDescent="0.25">
      <c r="A885" s="1"/>
      <c r="B885" s="1"/>
      <c r="C885" s="1"/>
      <c r="D885" s="1"/>
      <c r="E885" s="16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3.2" x14ac:dyDescent="0.25">
      <c r="A886" s="1"/>
      <c r="B886" s="1"/>
      <c r="C886" s="1"/>
      <c r="D886" s="1"/>
      <c r="E886" s="16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3.2" x14ac:dyDescent="0.25">
      <c r="A887" s="1"/>
      <c r="B887" s="1"/>
      <c r="C887" s="1"/>
      <c r="D887" s="1"/>
      <c r="E887" s="16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3.2" x14ac:dyDescent="0.25">
      <c r="A888" s="1"/>
      <c r="B888" s="1"/>
      <c r="C888" s="1"/>
      <c r="D888" s="1"/>
      <c r="E888" s="16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3.2" x14ac:dyDescent="0.25">
      <c r="A889" s="1"/>
      <c r="B889" s="1"/>
      <c r="C889" s="1"/>
      <c r="D889" s="1"/>
      <c r="E889" s="16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3.2" x14ac:dyDescent="0.25">
      <c r="A890" s="1"/>
      <c r="B890" s="1"/>
      <c r="C890" s="1"/>
      <c r="D890" s="1"/>
      <c r="E890" s="16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3.2" x14ac:dyDescent="0.25">
      <c r="A891" s="1"/>
      <c r="B891" s="1"/>
      <c r="C891" s="1"/>
      <c r="D891" s="1"/>
      <c r="E891" s="16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3.2" x14ac:dyDescent="0.25">
      <c r="A892" s="1"/>
      <c r="B892" s="1"/>
      <c r="C892" s="1"/>
      <c r="D892" s="1"/>
      <c r="E892" s="16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3.2" x14ac:dyDescent="0.25">
      <c r="A893" s="1"/>
      <c r="B893" s="1"/>
      <c r="C893" s="1"/>
      <c r="D893" s="1"/>
      <c r="E893" s="16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3.2" x14ac:dyDescent="0.25">
      <c r="A894" s="1"/>
      <c r="B894" s="1"/>
      <c r="C894" s="1"/>
      <c r="D894" s="1"/>
      <c r="E894" s="16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3.2" x14ac:dyDescent="0.25">
      <c r="A895" s="1"/>
      <c r="B895" s="1"/>
      <c r="C895" s="1"/>
      <c r="D895" s="1"/>
      <c r="E895" s="16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3.2" x14ac:dyDescent="0.25">
      <c r="A896" s="1"/>
      <c r="B896" s="1"/>
      <c r="C896" s="1"/>
      <c r="D896" s="1"/>
      <c r="E896" s="16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3.2" x14ac:dyDescent="0.25">
      <c r="A897" s="1"/>
      <c r="B897" s="1"/>
      <c r="C897" s="1"/>
      <c r="D897" s="1"/>
      <c r="E897" s="16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3.2" x14ac:dyDescent="0.25">
      <c r="A898" s="1"/>
      <c r="B898" s="1"/>
      <c r="C898" s="1"/>
      <c r="D898" s="1"/>
      <c r="E898" s="16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3.2" x14ac:dyDescent="0.25">
      <c r="A899" s="1"/>
      <c r="B899" s="1"/>
      <c r="C899" s="1"/>
      <c r="D899" s="1"/>
      <c r="E899" s="16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3.2" x14ac:dyDescent="0.25">
      <c r="A900" s="1"/>
      <c r="B900" s="1"/>
      <c r="C900" s="1"/>
      <c r="D900" s="1"/>
      <c r="E900" s="16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3.2" x14ac:dyDescent="0.25">
      <c r="A901" s="1"/>
      <c r="B901" s="1"/>
      <c r="C901" s="1"/>
      <c r="D901" s="1"/>
      <c r="E901" s="16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3.2" x14ac:dyDescent="0.25">
      <c r="A902" s="1"/>
      <c r="B902" s="1"/>
      <c r="C902" s="1"/>
      <c r="D902" s="1"/>
      <c r="E902" s="16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3.2" x14ac:dyDescent="0.25">
      <c r="A903" s="1"/>
      <c r="B903" s="1"/>
      <c r="C903" s="1"/>
      <c r="D903" s="1"/>
      <c r="E903" s="16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3.2" x14ac:dyDescent="0.25">
      <c r="A904" s="1"/>
      <c r="B904" s="1"/>
      <c r="C904" s="1"/>
      <c r="D904" s="1"/>
      <c r="E904" s="16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3.2" x14ac:dyDescent="0.25">
      <c r="A905" s="1"/>
      <c r="B905" s="1"/>
      <c r="C905" s="1"/>
      <c r="D905" s="1"/>
      <c r="E905" s="16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3.2" x14ac:dyDescent="0.25">
      <c r="A906" s="1"/>
      <c r="B906" s="1"/>
      <c r="C906" s="1"/>
      <c r="D906" s="1"/>
      <c r="E906" s="16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3.2" x14ac:dyDescent="0.25">
      <c r="A907" s="1"/>
      <c r="B907" s="1"/>
      <c r="C907" s="1"/>
      <c r="D907" s="1"/>
      <c r="E907" s="16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3.2" x14ac:dyDescent="0.25">
      <c r="A908" s="1"/>
      <c r="B908" s="1"/>
      <c r="C908" s="1"/>
      <c r="D908" s="1"/>
      <c r="E908" s="16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3.2" x14ac:dyDescent="0.25">
      <c r="A909" s="1"/>
      <c r="B909" s="1"/>
      <c r="C909" s="1"/>
      <c r="D909" s="1"/>
      <c r="E909" s="16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3.2" x14ac:dyDescent="0.25">
      <c r="A910" s="1"/>
      <c r="B910" s="1"/>
      <c r="C910" s="1"/>
      <c r="D910" s="1"/>
      <c r="E910" s="16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3.2" x14ac:dyDescent="0.25">
      <c r="A911" s="1"/>
      <c r="B911" s="1"/>
      <c r="C911" s="1"/>
      <c r="D911" s="1"/>
      <c r="E911" s="16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3.2" x14ac:dyDescent="0.25">
      <c r="A912" s="1"/>
      <c r="B912" s="1"/>
      <c r="C912" s="1"/>
      <c r="D912" s="1"/>
      <c r="E912" s="16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3.2" x14ac:dyDescent="0.25">
      <c r="A913" s="1"/>
      <c r="B913" s="1"/>
      <c r="C913" s="1"/>
      <c r="D913" s="1"/>
      <c r="E913" s="16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3.2" x14ac:dyDescent="0.25">
      <c r="A914" s="1"/>
      <c r="B914" s="1"/>
      <c r="C914" s="1"/>
      <c r="D914" s="1"/>
      <c r="E914" s="16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3.2" x14ac:dyDescent="0.25">
      <c r="A915" s="1"/>
      <c r="B915" s="1"/>
      <c r="C915" s="1"/>
      <c r="D915" s="1"/>
      <c r="E915" s="16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3.2" x14ac:dyDescent="0.25">
      <c r="A916" s="1"/>
      <c r="B916" s="1"/>
      <c r="C916" s="1"/>
      <c r="D916" s="1"/>
      <c r="E916" s="16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3.2" x14ac:dyDescent="0.25">
      <c r="A917" s="1"/>
      <c r="B917" s="1"/>
      <c r="C917" s="1"/>
      <c r="D917" s="1"/>
      <c r="E917" s="16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3.2" x14ac:dyDescent="0.25">
      <c r="A918" s="1"/>
      <c r="B918" s="1"/>
      <c r="C918" s="1"/>
      <c r="D918" s="1"/>
      <c r="E918" s="16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3.2" x14ac:dyDescent="0.25">
      <c r="A919" s="1"/>
      <c r="B919" s="1"/>
      <c r="C919" s="1"/>
      <c r="D919" s="1"/>
      <c r="E919" s="16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3.2" x14ac:dyDescent="0.25">
      <c r="A920" s="1"/>
      <c r="B920" s="1"/>
      <c r="C920" s="1"/>
      <c r="D920" s="1"/>
      <c r="E920" s="16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3.2" x14ac:dyDescent="0.25">
      <c r="A921" s="1"/>
      <c r="B921" s="1"/>
      <c r="C921" s="1"/>
      <c r="D921" s="1"/>
      <c r="E921" s="16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3.2" x14ac:dyDescent="0.25">
      <c r="A922" s="1"/>
      <c r="B922" s="1"/>
      <c r="C922" s="1"/>
      <c r="D922" s="1"/>
      <c r="E922" s="16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3.2" x14ac:dyDescent="0.25">
      <c r="A923" s="1"/>
      <c r="B923" s="1"/>
      <c r="C923" s="1"/>
      <c r="D923" s="1"/>
      <c r="E923" s="16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3.2" x14ac:dyDescent="0.25">
      <c r="A924" s="1"/>
      <c r="B924" s="1"/>
      <c r="C924" s="1"/>
      <c r="D924" s="1"/>
      <c r="E924" s="16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3.2" x14ac:dyDescent="0.25">
      <c r="A925" s="1"/>
      <c r="B925" s="1"/>
      <c r="C925" s="1"/>
      <c r="D925" s="1"/>
      <c r="E925" s="16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3.2" x14ac:dyDescent="0.25">
      <c r="A926" s="1"/>
      <c r="B926" s="1"/>
      <c r="C926" s="1"/>
      <c r="D926" s="1"/>
      <c r="E926" s="16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3.2" x14ac:dyDescent="0.25">
      <c r="A927" s="1"/>
      <c r="B927" s="1"/>
      <c r="C927" s="1"/>
      <c r="D927" s="1"/>
      <c r="E927" s="16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3.2" x14ac:dyDescent="0.25">
      <c r="A928" s="1"/>
      <c r="B928" s="1"/>
      <c r="C928" s="1"/>
      <c r="D928" s="1"/>
      <c r="E928" s="16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3.2" x14ac:dyDescent="0.25">
      <c r="A929" s="1"/>
      <c r="B929" s="1"/>
      <c r="C929" s="1"/>
      <c r="D929" s="1"/>
      <c r="E929" s="16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3.2" x14ac:dyDescent="0.25">
      <c r="A930" s="1"/>
      <c r="B930" s="1"/>
      <c r="C930" s="1"/>
      <c r="D930" s="1"/>
      <c r="E930" s="16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3.2" x14ac:dyDescent="0.25">
      <c r="A931" s="1"/>
      <c r="B931" s="1"/>
      <c r="C931" s="1"/>
      <c r="D931" s="1"/>
      <c r="E931" s="16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3.2" x14ac:dyDescent="0.25">
      <c r="A932" s="1"/>
      <c r="B932" s="1"/>
      <c r="C932" s="1"/>
      <c r="D932" s="1"/>
      <c r="E932" s="16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3.2" x14ac:dyDescent="0.25">
      <c r="A933" s="1"/>
      <c r="B933" s="1"/>
      <c r="C933" s="1"/>
      <c r="D933" s="1"/>
      <c r="E933" s="16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3.2" x14ac:dyDescent="0.25">
      <c r="A934" s="1"/>
      <c r="B934" s="1"/>
      <c r="C934" s="1"/>
      <c r="D934" s="1"/>
      <c r="E934" s="16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3.2" x14ac:dyDescent="0.25">
      <c r="A935" s="1"/>
      <c r="B935" s="1"/>
      <c r="C935" s="1"/>
      <c r="D935" s="1"/>
      <c r="E935" s="16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3.2" x14ac:dyDescent="0.25">
      <c r="A936" s="1"/>
      <c r="B936" s="1"/>
      <c r="C936" s="1"/>
      <c r="D936" s="1"/>
      <c r="E936" s="16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3.2" x14ac:dyDescent="0.25">
      <c r="A937" s="1"/>
      <c r="B937" s="1"/>
      <c r="C937" s="1"/>
      <c r="D937" s="1"/>
      <c r="E937" s="16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3.2" x14ac:dyDescent="0.25">
      <c r="A938" s="1"/>
      <c r="B938" s="1"/>
      <c r="C938" s="1"/>
      <c r="D938" s="1"/>
      <c r="E938" s="16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3.2" x14ac:dyDescent="0.25">
      <c r="A939" s="1"/>
      <c r="B939" s="1"/>
      <c r="C939" s="1"/>
      <c r="D939" s="1"/>
      <c r="E939" s="16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3.2" x14ac:dyDescent="0.25">
      <c r="A940" s="1"/>
      <c r="B940" s="1"/>
      <c r="C940" s="1"/>
      <c r="D940" s="1"/>
      <c r="E940" s="16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3.2" x14ac:dyDescent="0.25">
      <c r="A941" s="1"/>
      <c r="B941" s="1"/>
      <c r="C941" s="1"/>
      <c r="D941" s="1"/>
      <c r="E941" s="16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3.2" x14ac:dyDescent="0.25">
      <c r="A942" s="1"/>
      <c r="B942" s="1"/>
      <c r="C942" s="1"/>
      <c r="D942" s="1"/>
      <c r="E942" s="16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3.2" x14ac:dyDescent="0.25">
      <c r="A943" s="1"/>
      <c r="B943" s="1"/>
      <c r="C943" s="1"/>
      <c r="D943" s="1"/>
      <c r="E943" s="16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3.2" x14ac:dyDescent="0.25">
      <c r="A944" s="1"/>
      <c r="B944" s="1"/>
      <c r="C944" s="1"/>
      <c r="D944" s="1"/>
      <c r="E944" s="16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3.2" x14ac:dyDescent="0.25">
      <c r="A945" s="1"/>
      <c r="B945" s="1"/>
      <c r="C945" s="1"/>
      <c r="D945" s="1"/>
      <c r="E945" s="16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3.2" x14ac:dyDescent="0.25">
      <c r="A946" s="1"/>
      <c r="B946" s="1"/>
      <c r="C946" s="1"/>
      <c r="D946" s="1"/>
      <c r="E946" s="169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3.2" x14ac:dyDescent="0.25">
      <c r="A947" s="1"/>
      <c r="B947" s="1"/>
      <c r="C947" s="1"/>
      <c r="D947" s="1"/>
      <c r="E947" s="169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3.2" x14ac:dyDescent="0.25">
      <c r="A948" s="1"/>
      <c r="B948" s="1"/>
      <c r="C948" s="1"/>
      <c r="D948" s="1"/>
      <c r="E948" s="169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3.2" x14ac:dyDescent="0.25">
      <c r="A949" s="1"/>
      <c r="B949" s="1"/>
      <c r="C949" s="1"/>
      <c r="D949" s="1"/>
      <c r="E949" s="169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3.2" x14ac:dyDescent="0.25">
      <c r="A950" s="1"/>
      <c r="B950" s="1"/>
      <c r="C950" s="1"/>
      <c r="D950" s="1"/>
      <c r="E950" s="169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3.2" x14ac:dyDescent="0.25">
      <c r="A951" s="1"/>
      <c r="B951" s="1"/>
      <c r="C951" s="1"/>
      <c r="D951" s="1"/>
      <c r="E951" s="169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3.2" x14ac:dyDescent="0.25">
      <c r="A952" s="1"/>
      <c r="B952" s="1"/>
      <c r="C952" s="1"/>
      <c r="D952" s="1"/>
      <c r="E952" s="169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3.2" x14ac:dyDescent="0.25">
      <c r="A953" s="1"/>
      <c r="B953" s="1"/>
      <c r="C953" s="1"/>
      <c r="D953" s="1"/>
      <c r="E953" s="169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3.2" x14ac:dyDescent="0.25">
      <c r="A954" s="1"/>
      <c r="B954" s="1"/>
      <c r="C954" s="1"/>
      <c r="D954" s="1"/>
      <c r="E954" s="169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3.2" x14ac:dyDescent="0.25">
      <c r="A955" s="1"/>
      <c r="B955" s="1"/>
      <c r="C955" s="1"/>
      <c r="D955" s="1"/>
      <c r="E955" s="169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3.2" x14ac:dyDescent="0.25">
      <c r="A956" s="1"/>
      <c r="B956" s="1"/>
      <c r="C956" s="1"/>
      <c r="D956" s="1"/>
      <c r="E956" s="169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3.2" x14ac:dyDescent="0.25">
      <c r="A957" s="1"/>
      <c r="B957" s="1"/>
      <c r="C957" s="1"/>
      <c r="D957" s="1"/>
      <c r="E957" s="169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3.2" x14ac:dyDescent="0.25">
      <c r="A958" s="1"/>
      <c r="B958" s="1"/>
      <c r="C958" s="1"/>
      <c r="D958" s="1"/>
      <c r="E958" s="169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3.2" x14ac:dyDescent="0.25">
      <c r="A959" s="1"/>
      <c r="B959" s="1"/>
      <c r="C959" s="1"/>
      <c r="D959" s="1"/>
      <c r="E959" s="169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3.2" x14ac:dyDescent="0.25">
      <c r="A960" s="1"/>
      <c r="B960" s="1"/>
      <c r="C960" s="1"/>
      <c r="D960" s="1"/>
      <c r="E960" s="169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3.2" x14ac:dyDescent="0.25">
      <c r="A961" s="1"/>
      <c r="B961" s="1"/>
      <c r="C961" s="1"/>
      <c r="D961" s="1"/>
      <c r="E961" s="169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3.2" x14ac:dyDescent="0.25">
      <c r="A962" s="1"/>
      <c r="B962" s="1"/>
      <c r="C962" s="1"/>
      <c r="D962" s="1"/>
      <c r="E962" s="169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3.2" x14ac:dyDescent="0.25">
      <c r="A963" s="1"/>
      <c r="B963" s="1"/>
      <c r="C963" s="1"/>
      <c r="D963" s="1"/>
      <c r="E963" s="169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3.2" x14ac:dyDescent="0.25">
      <c r="A964" s="1"/>
      <c r="B964" s="1"/>
      <c r="C964" s="1"/>
      <c r="D964" s="1"/>
      <c r="E964" s="169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3.2" x14ac:dyDescent="0.25">
      <c r="A965" s="1"/>
      <c r="B965" s="1"/>
      <c r="C965" s="1"/>
      <c r="D965" s="1"/>
      <c r="E965" s="169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3.2" x14ac:dyDescent="0.25">
      <c r="A966" s="1"/>
      <c r="B966" s="1"/>
      <c r="C966" s="1"/>
      <c r="D966" s="1"/>
      <c r="E966" s="169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3.2" x14ac:dyDescent="0.25">
      <c r="A967" s="1"/>
      <c r="B967" s="1"/>
      <c r="C967" s="1"/>
      <c r="D967" s="1"/>
      <c r="E967" s="169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3.2" x14ac:dyDescent="0.25">
      <c r="A968" s="1"/>
      <c r="B968" s="1"/>
      <c r="C968" s="1"/>
      <c r="D968" s="1"/>
      <c r="E968" s="169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3.2" x14ac:dyDescent="0.25">
      <c r="A969" s="1"/>
      <c r="B969" s="1"/>
      <c r="C969" s="1"/>
      <c r="D969" s="1"/>
      <c r="E969" s="169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3.2" x14ac:dyDescent="0.25">
      <c r="A970" s="1"/>
      <c r="B970" s="1"/>
      <c r="C970" s="1"/>
      <c r="D970" s="1"/>
      <c r="E970" s="169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3.2" x14ac:dyDescent="0.25">
      <c r="A971" s="1"/>
      <c r="B971" s="1"/>
      <c r="C971" s="1"/>
      <c r="D971" s="1"/>
      <c r="E971" s="169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3.2" x14ac:dyDescent="0.25">
      <c r="A972" s="1"/>
      <c r="B972" s="1"/>
      <c r="C972" s="1"/>
      <c r="D972" s="1"/>
      <c r="E972" s="169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3.2" x14ac:dyDescent="0.25">
      <c r="A973" s="1"/>
      <c r="B973" s="1"/>
      <c r="C973" s="1"/>
      <c r="D973" s="1"/>
      <c r="E973" s="169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3.2" x14ac:dyDescent="0.25">
      <c r="A974" s="1"/>
      <c r="B974" s="1"/>
      <c r="C974" s="1"/>
      <c r="D974" s="1"/>
      <c r="E974" s="169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3.2" x14ac:dyDescent="0.25">
      <c r="A975" s="1"/>
      <c r="B975" s="1"/>
      <c r="C975" s="1"/>
      <c r="D975" s="1"/>
      <c r="E975" s="169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3.2" x14ac:dyDescent="0.25">
      <c r="A976" s="1"/>
      <c r="B976" s="1"/>
      <c r="C976" s="1"/>
      <c r="D976" s="1"/>
      <c r="E976" s="169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3.2" x14ac:dyDescent="0.25">
      <c r="A977" s="1"/>
      <c r="B977" s="1"/>
      <c r="C977" s="1"/>
      <c r="D977" s="1"/>
      <c r="E977" s="169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3.2" x14ac:dyDescent="0.25">
      <c r="A978" s="1"/>
      <c r="B978" s="1"/>
      <c r="C978" s="1"/>
      <c r="D978" s="1"/>
      <c r="E978" s="169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3.2" x14ac:dyDescent="0.25">
      <c r="A979" s="1"/>
      <c r="B979" s="1"/>
      <c r="C979" s="1"/>
      <c r="D979" s="1"/>
      <c r="E979" s="169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3.2" x14ac:dyDescent="0.25">
      <c r="A980" s="1"/>
      <c r="B980" s="1"/>
      <c r="C980" s="1"/>
      <c r="D980" s="1"/>
      <c r="E980" s="169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3.2" x14ac:dyDescent="0.25">
      <c r="A981" s="1"/>
      <c r="B981" s="1"/>
      <c r="C981" s="1"/>
      <c r="D981" s="1"/>
      <c r="E981" s="169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3.2" x14ac:dyDescent="0.25">
      <c r="A982" s="1"/>
      <c r="B982" s="1"/>
      <c r="C982" s="1"/>
      <c r="D982" s="1"/>
      <c r="E982" s="169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3.2" x14ac:dyDescent="0.25">
      <c r="A983" s="1"/>
      <c r="B983" s="1"/>
      <c r="C983" s="1"/>
      <c r="D983" s="1"/>
      <c r="E983" s="169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3.2" x14ac:dyDescent="0.25">
      <c r="A984" s="1"/>
      <c r="B984" s="1"/>
      <c r="C984" s="1"/>
      <c r="D984" s="1"/>
      <c r="E984" s="169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3.2" x14ac:dyDescent="0.25">
      <c r="A985" s="1"/>
      <c r="B985" s="1"/>
      <c r="C985" s="1"/>
      <c r="D985" s="1"/>
      <c r="E985" s="169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3.2" x14ac:dyDescent="0.25">
      <c r="A986" s="1"/>
      <c r="B986" s="1"/>
      <c r="C986" s="1"/>
      <c r="D986" s="1"/>
      <c r="E986" s="169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3.2" x14ac:dyDescent="0.25">
      <c r="A987" s="1"/>
      <c r="B987" s="1"/>
      <c r="C987" s="1"/>
      <c r="D987" s="1"/>
      <c r="E987" s="169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3.2" x14ac:dyDescent="0.25">
      <c r="A988" s="1"/>
      <c r="B988" s="1"/>
      <c r="C988" s="1"/>
      <c r="D988" s="1"/>
      <c r="E988" s="169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3.2" x14ac:dyDescent="0.25">
      <c r="A989" s="1"/>
      <c r="B989" s="1"/>
      <c r="C989" s="1"/>
      <c r="D989" s="1"/>
      <c r="E989" s="169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3.2" x14ac:dyDescent="0.25">
      <c r="A990" s="1"/>
      <c r="B990" s="1"/>
      <c r="C990" s="1"/>
      <c r="D990" s="1"/>
      <c r="E990" s="169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3.2" x14ac:dyDescent="0.25">
      <c r="A991" s="1"/>
      <c r="B991" s="1"/>
      <c r="C991" s="1"/>
      <c r="D991" s="1"/>
      <c r="E991" s="169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3.2" x14ac:dyDescent="0.25">
      <c r="A992" s="1"/>
      <c r="B992" s="1"/>
      <c r="C992" s="1"/>
      <c r="D992" s="1"/>
      <c r="E992" s="169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3.2" x14ac:dyDescent="0.25">
      <c r="A993" s="1"/>
      <c r="B993" s="1"/>
      <c r="C993" s="1"/>
      <c r="D993" s="1"/>
      <c r="E993" s="169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3.2" x14ac:dyDescent="0.25">
      <c r="A994" s="1"/>
      <c r="B994" s="1"/>
      <c r="C994" s="1"/>
      <c r="D994" s="1"/>
      <c r="E994" s="169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3.2" x14ac:dyDescent="0.25">
      <c r="A995" s="1"/>
      <c r="B995" s="1"/>
      <c r="C995" s="1"/>
      <c r="D995" s="1"/>
      <c r="E995" s="169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3.2" x14ac:dyDescent="0.25">
      <c r="A996" s="1"/>
      <c r="B996" s="1"/>
      <c r="C996" s="1"/>
      <c r="D996" s="1"/>
      <c r="E996" s="169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3.2" x14ac:dyDescent="0.25">
      <c r="A997" s="1"/>
      <c r="B997" s="1"/>
      <c r="C997" s="1"/>
      <c r="D997" s="1"/>
      <c r="E997" s="16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3.2" x14ac:dyDescent="0.25">
      <c r="A998" s="1"/>
      <c r="B998" s="1"/>
      <c r="C998" s="1"/>
      <c r="D998" s="1"/>
      <c r="E998" s="169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3.2" x14ac:dyDescent="0.25">
      <c r="A999" s="1"/>
      <c r="B999" s="1"/>
      <c r="C999" s="1"/>
      <c r="D999" s="1"/>
      <c r="E999" s="169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3.2" x14ac:dyDescent="0.25">
      <c r="A1000" s="1"/>
      <c r="B1000" s="1"/>
      <c r="C1000" s="1"/>
      <c r="D1000" s="1"/>
      <c r="E1000" s="169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3.2" x14ac:dyDescent="0.25">
      <c r="A1001" s="1"/>
      <c r="B1001" s="1"/>
      <c r="C1001" s="1"/>
      <c r="D1001" s="1"/>
      <c r="E1001" s="169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3.2" x14ac:dyDescent="0.25">
      <c r="A1002" s="1"/>
      <c r="B1002" s="1"/>
      <c r="C1002" s="1"/>
      <c r="D1002" s="1"/>
      <c r="E1002" s="169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3.2" x14ac:dyDescent="0.25">
      <c r="A1003" s="1"/>
      <c r="B1003" s="1"/>
      <c r="C1003" s="1"/>
      <c r="D1003" s="1"/>
      <c r="E1003" s="169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3.2" x14ac:dyDescent="0.25">
      <c r="A1004" s="1"/>
      <c r="B1004" s="1"/>
      <c r="C1004" s="1"/>
      <c r="D1004" s="1"/>
      <c r="E1004" s="169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3.2" x14ac:dyDescent="0.25">
      <c r="A1005" s="1"/>
      <c r="B1005" s="1"/>
      <c r="C1005" s="1"/>
      <c r="D1005" s="1"/>
      <c r="E1005" s="169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3.2" x14ac:dyDescent="0.25">
      <c r="A1006" s="1"/>
      <c r="B1006" s="1"/>
      <c r="C1006" s="1"/>
      <c r="D1006" s="1"/>
      <c r="E1006" s="169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3.2" x14ac:dyDescent="0.25">
      <c r="A1007" s="1"/>
      <c r="B1007" s="1"/>
      <c r="C1007" s="1"/>
      <c r="D1007" s="1"/>
      <c r="E1007" s="169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3.2" x14ac:dyDescent="0.25">
      <c r="A1008" s="1"/>
      <c r="B1008" s="1"/>
      <c r="C1008" s="1"/>
      <c r="D1008" s="1"/>
      <c r="E1008" s="169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3.2" x14ac:dyDescent="0.25">
      <c r="A1009" s="1"/>
      <c r="B1009" s="1"/>
      <c r="C1009" s="1"/>
      <c r="D1009" s="1"/>
      <c r="E1009" s="169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3.2" x14ac:dyDescent="0.25">
      <c r="A1010" s="1"/>
      <c r="B1010" s="1"/>
      <c r="C1010" s="1"/>
      <c r="D1010" s="1"/>
      <c r="E1010" s="169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3.2" x14ac:dyDescent="0.25">
      <c r="A1011" s="1"/>
      <c r="B1011" s="1"/>
      <c r="C1011" s="1"/>
      <c r="D1011" s="1"/>
      <c r="E1011" s="169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3.2" x14ac:dyDescent="0.25">
      <c r="A1012" s="1"/>
      <c r="B1012" s="1"/>
      <c r="C1012" s="1"/>
      <c r="D1012" s="1"/>
      <c r="E1012" s="169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3.2" x14ac:dyDescent="0.25">
      <c r="A1013" s="1"/>
      <c r="B1013" s="1"/>
      <c r="C1013" s="1"/>
      <c r="D1013" s="1"/>
      <c r="E1013" s="169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3.2" x14ac:dyDescent="0.25">
      <c r="A1014" s="1"/>
      <c r="B1014" s="1"/>
      <c r="C1014" s="1"/>
      <c r="D1014" s="1"/>
      <c r="E1014" s="169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3.2" x14ac:dyDescent="0.25">
      <c r="A1015" s="1"/>
      <c r="B1015" s="1"/>
      <c r="C1015" s="1"/>
      <c r="D1015" s="1"/>
      <c r="E1015" s="169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3.2" x14ac:dyDescent="0.25">
      <c r="A1016" s="1"/>
      <c r="B1016" s="1"/>
      <c r="C1016" s="1"/>
      <c r="D1016" s="1"/>
      <c r="E1016" s="169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3.2" x14ac:dyDescent="0.25">
      <c r="A1017" s="1"/>
      <c r="B1017" s="1"/>
      <c r="C1017" s="1"/>
      <c r="D1017" s="1"/>
      <c r="E1017" s="169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 CPVC PIPE</vt:lpstr>
      <vt:lpstr>CPVC FITTINGS</vt:lpstr>
      <vt:lpstr>UPVC PIPE</vt:lpstr>
      <vt:lpstr>UPVC FITTINGS</vt:lpstr>
      <vt:lpstr>AGRI PIPE</vt:lpstr>
      <vt:lpstr>AGRI FITTINGS</vt:lpstr>
      <vt:lpstr>AGRI SMART Fittings</vt:lpstr>
      <vt:lpstr>SWR PIPE</vt:lpstr>
      <vt:lpstr>SWR FITTINGS</vt:lpstr>
      <vt:lpstr>CASING PIPE</vt:lpstr>
      <vt:lpstr>UGD PIPE</vt:lpstr>
      <vt:lpstr>PPR PIPE</vt:lpstr>
      <vt:lpstr>PPR FITTINGS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2026-09-22T11:12:24Z</dcterms:modified>
</cp:coreProperties>
</file>